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" sheetId="1" state="visible" r:id="rId3"/>
    <sheet name="級別設定" sheetId="2" state="visible" r:id="rId4"/>
    <sheet name="評語清單" sheetId="3" state="visible" r:id="rId5"/>
    <sheet name="試算" sheetId="4" state="visible" r:id="rId6"/>
  </sheets>
  <definedNames>
    <definedName function="false" hidden="true" localSheetId="2" name="_xlnm._FilterDatabase" vbProcedure="false">評語清單!$A$1:$K$173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<sst xmlns="http://schemas.openxmlformats.org/spreadsheetml/2006/main" count="1358" uniqueCount="542">
  <si>
    <r>
      <rPr>
        <b val="true"/>
        <sz val="13"/>
        <rFont val="Microsoft JhengHei"/>
        <family val="0"/>
        <charset val="1"/>
      </rPr>
      <t xml:space="preserve">2026 </t>
    </r>
    <r>
      <rPr>
        <b val="true"/>
        <sz val="13"/>
        <rFont val="Noto Sans CJK SC"/>
        <family val="2"/>
      </rPr>
      <t xml:space="preserve">日檢弱點分析 評語清單 </t>
    </r>
    <r>
      <rPr>
        <b val="true"/>
        <sz val="13"/>
        <rFont val="Microsoft JhengHei"/>
        <family val="0"/>
        <charset val="1"/>
      </rPr>
      <t xml:space="preserve">N1</t>
    </r>
    <r>
      <rPr>
        <b val="true"/>
        <sz val="13"/>
        <rFont val="Noto Sans CJK SC"/>
        <family val="2"/>
      </rPr>
      <t xml:space="preserve">～</t>
    </r>
    <r>
      <rPr>
        <b val="true"/>
        <sz val="13"/>
        <rFont val="Microsoft JhengHei"/>
        <family val="0"/>
        <charset val="1"/>
      </rPr>
      <t xml:space="preserve">N5</t>
    </r>
    <r>
      <rPr>
        <b val="true"/>
        <sz val="13"/>
        <rFont val="Noto Sans CJK SC"/>
        <family val="2"/>
      </rPr>
      <t xml:space="preserve">（模組整合版）</t>
    </r>
  </si>
  <si>
    <t xml:space="preserve">一、組裝順序</t>
  </si>
  <si>
    <r>
      <rPr>
        <sz val="10"/>
        <rFont val="Noto Sans CJK SC"/>
        <family val="2"/>
      </rPr>
      <t xml:space="preserve">開頭句（表</t>
    </r>
    <r>
      <rPr>
        <sz val="10"/>
        <rFont val="Microsoft JhengHei"/>
        <family val="0"/>
        <charset val="1"/>
      </rPr>
      <t xml:space="preserve">A</t>
    </r>
    <r>
      <rPr>
        <sz val="10"/>
        <rFont val="Noto Sans CJK SC"/>
        <family val="2"/>
      </rPr>
      <t xml:space="preserve">）→ 言語知識評語（表</t>
    </r>
    <r>
      <rPr>
        <sz val="10"/>
        <rFont val="Microsoft JhengHei"/>
        <family val="0"/>
        <charset val="1"/>
      </rPr>
      <t xml:space="preserve">B</t>
    </r>
    <r>
      <rPr>
        <sz val="10"/>
        <rFont val="Noto Sans CJK SC"/>
        <family val="2"/>
      </rPr>
      <t xml:space="preserve">，</t>
    </r>
    <r>
      <rPr>
        <sz val="10"/>
        <rFont val="Microsoft JhengHei"/>
        <family val="0"/>
        <charset val="1"/>
      </rPr>
      <t xml:space="preserve">N4/N5 </t>
    </r>
    <r>
      <rPr>
        <sz val="10"/>
        <rFont val="Noto Sans CJK SC"/>
        <family val="2"/>
      </rPr>
      <t xml:space="preserve">含讀解）→ 讀解評語（表</t>
    </r>
    <r>
      <rPr>
        <sz val="10"/>
        <rFont val="Microsoft JhengHei"/>
        <family val="0"/>
        <charset val="1"/>
      </rPr>
      <t xml:space="preserve">R</t>
    </r>
    <r>
      <rPr>
        <sz val="10"/>
        <rFont val="Noto Sans CJK SC"/>
        <family val="2"/>
      </rPr>
      <t xml:space="preserve">，僅 </t>
    </r>
    <r>
      <rPr>
        <sz val="10"/>
        <rFont val="Microsoft JhengHei"/>
        <family val="0"/>
        <charset val="1"/>
      </rPr>
      <t xml:space="preserve">N1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N3</t>
    </r>
    <r>
      <rPr>
        <sz val="10"/>
        <rFont val="Noto Sans CJK SC"/>
        <family val="2"/>
      </rPr>
      <t xml:space="preserve">）→ 聽解評語（表</t>
    </r>
    <r>
      <rPr>
        <sz val="10"/>
        <rFont val="Microsoft JhengHei"/>
        <family val="0"/>
        <charset val="1"/>
      </rPr>
      <t xml:space="preserve">C</t>
    </r>
    <r>
      <rPr>
        <sz val="10"/>
        <rFont val="Noto Sans CJK SC"/>
        <family val="2"/>
      </rPr>
      <t xml:space="preserve">）→ 結尾句（表</t>
    </r>
    <r>
      <rPr>
        <sz val="10"/>
        <rFont val="Microsoft JhengHei"/>
        <family val="0"/>
        <charset val="1"/>
      </rPr>
      <t xml:space="preserve">A</t>
    </r>
    <r>
      <rPr>
        <sz val="10"/>
        <rFont val="Noto Sans CJK SC"/>
        <family val="2"/>
      </rPr>
      <t xml:space="preserve">）</t>
    </r>
  </si>
  <si>
    <t xml:space="preserve">學生看到的是一段連續文字，五個部分直接串接。</t>
  </si>
  <si>
    <t xml:space="preserve">二、查表鍵</t>
  </si>
  <si>
    <r>
      <rPr>
        <sz val="10"/>
        <rFont val="Noto Sans CJK SC"/>
        <family val="2"/>
      </rPr>
      <t xml:space="preserve">「評語清單」</t>
    </r>
    <r>
      <rPr>
        <sz val="10"/>
        <rFont val="Microsoft JhengHei"/>
        <family val="0"/>
        <charset val="1"/>
      </rPr>
      <t xml:space="preserve">E </t>
    </r>
    <r>
      <rPr>
        <sz val="10"/>
        <rFont val="Noto Sans CJK SC"/>
        <family val="2"/>
      </rPr>
      <t xml:space="preserve">欄 </t>
    </r>
    <r>
      <rPr>
        <sz val="10"/>
        <rFont val="Microsoft JhengHei"/>
        <family val="0"/>
        <charset val="1"/>
      </rPr>
      <t xml:space="preserve">= </t>
    </r>
    <r>
      <rPr>
        <sz val="10"/>
        <rFont val="Noto Sans CJK SC"/>
        <family val="2"/>
      </rPr>
      <t xml:space="preserve">級數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表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區間代碼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參考情報，例：</t>
    </r>
    <r>
      <rPr>
        <sz val="10"/>
        <rFont val="Microsoft JhengHei"/>
        <family val="0"/>
        <charset val="1"/>
      </rPr>
      <t xml:space="preserve">N5|B_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中</t>
    </r>
    <r>
      <rPr>
        <sz val="10"/>
        <rFont val="Microsoft JhengHei"/>
        <family val="0"/>
        <charset val="1"/>
      </rPr>
      <t xml:space="preserve">|BA</t>
    </r>
    <r>
      <rPr>
        <sz val="10"/>
        <rFont val="Noto Sans CJK SC"/>
        <family val="2"/>
      </rPr>
      <t xml:space="preserve">。用 </t>
    </r>
    <r>
      <rPr>
        <sz val="10"/>
        <rFont val="Microsoft JhengHei"/>
        <family val="0"/>
        <charset val="1"/>
      </rPr>
      <t xml:space="preserve">INDEX/MATCH </t>
    </r>
    <r>
      <rPr>
        <sz val="10"/>
        <rFont val="Noto Sans CJK SC"/>
        <family val="2"/>
      </rPr>
      <t xml:space="preserve">或 </t>
    </r>
    <r>
      <rPr>
        <sz val="10"/>
        <rFont val="Microsoft JhengHei"/>
        <family val="0"/>
        <charset val="1"/>
      </rPr>
      <t xml:space="preserve">VLOOKUP </t>
    </r>
    <r>
      <rPr>
        <sz val="10"/>
        <rFont val="Noto Sans CJK SC"/>
        <family val="2"/>
      </rPr>
      <t xml:space="preserve">對 </t>
    </r>
    <r>
      <rPr>
        <sz val="10"/>
        <rFont val="Microsoft JhengHei"/>
        <family val="0"/>
        <charset val="1"/>
      </rPr>
      <t xml:space="preserve">E </t>
    </r>
    <r>
      <rPr>
        <sz val="10"/>
        <rFont val="Noto Sans CJK SC"/>
        <family val="2"/>
      </rPr>
      <t xml:space="preserve">欄查即可。</t>
    </r>
  </si>
  <si>
    <r>
      <rPr>
        <sz val="10"/>
        <rFont val="Noto Sans CJK SC"/>
        <family val="2"/>
      </rPr>
      <t xml:space="preserve">表</t>
    </r>
    <r>
      <rPr>
        <sz val="10"/>
        <rFont val="Microsoft JhengHei"/>
        <family val="0"/>
        <charset val="1"/>
      </rPr>
      <t xml:space="preserve">A </t>
    </r>
    <r>
      <rPr>
        <sz val="10"/>
        <rFont val="Noto Sans CJK SC"/>
        <family val="2"/>
      </rPr>
      <t xml:space="preserve">與表</t>
    </r>
    <r>
      <rPr>
        <sz val="10"/>
        <rFont val="Microsoft JhengHei"/>
        <family val="0"/>
        <charset val="1"/>
      </rPr>
      <t xml:space="preserve">C</t>
    </r>
    <r>
      <rPr>
        <sz val="10"/>
        <rFont val="Noto Sans CJK SC"/>
        <family val="2"/>
      </rPr>
      <t xml:space="preserve">、表</t>
    </r>
    <r>
      <rPr>
        <sz val="10"/>
        <rFont val="Microsoft JhengHei"/>
        <family val="0"/>
        <charset val="1"/>
      </rPr>
      <t xml:space="preserve">R </t>
    </r>
    <r>
      <rPr>
        <sz val="10"/>
        <rFont val="Noto Sans CJK SC"/>
        <family val="2"/>
      </rPr>
      <t xml:space="preserve">的參考情報欄固定填「</t>
    </r>
    <r>
      <rPr>
        <sz val="10"/>
        <rFont val="Microsoft JhengHei"/>
        <family val="0"/>
        <charset val="1"/>
      </rPr>
      <t xml:space="preserve">-</t>
    </r>
    <r>
      <rPr>
        <sz val="10"/>
        <rFont val="Noto Sans CJK SC"/>
        <family val="2"/>
      </rPr>
      <t xml:space="preserve">」。</t>
    </r>
  </si>
  <si>
    <t xml:space="preserve">三、區間代碼</t>
  </si>
  <si>
    <r>
      <rPr>
        <sz val="10"/>
        <rFont val="Noto Sans CJK SC"/>
        <family val="2"/>
      </rPr>
      <t xml:space="preserve">表</t>
    </r>
    <r>
      <rPr>
        <sz val="10"/>
        <rFont val="Microsoft JhengHei"/>
        <family val="0"/>
        <charset val="1"/>
      </rPr>
      <t xml:space="preserve">A</t>
    </r>
    <r>
      <rPr>
        <sz val="10"/>
        <rFont val="Noto Sans CJK SC"/>
        <family val="2"/>
      </rPr>
      <t xml:space="preserve">（總判定，看總分與及格線的差距）：單科未達／差</t>
    </r>
    <r>
      <rPr>
        <sz val="10"/>
        <rFont val="Microsoft JhengHei"/>
        <family val="0"/>
        <charset val="1"/>
      </rPr>
      <t xml:space="preserve">20+</t>
    </r>
    <r>
      <rPr>
        <sz val="10"/>
        <rFont val="Noto Sans CJK SC"/>
        <family val="2"/>
      </rPr>
      <t xml:space="preserve">／差</t>
    </r>
    <r>
      <rPr>
        <sz val="10"/>
        <rFont val="Microsoft JhengHei"/>
        <family val="0"/>
        <charset val="1"/>
      </rPr>
      <t xml:space="preserve">1-19</t>
    </r>
    <r>
      <rPr>
        <sz val="10"/>
        <rFont val="Noto Sans CJK SC"/>
        <family val="2"/>
      </rPr>
      <t xml:space="preserve">／過</t>
    </r>
    <r>
      <rPr>
        <sz val="10"/>
        <rFont val="Microsoft JhengHei"/>
        <family val="0"/>
        <charset val="1"/>
      </rPr>
      <t xml:space="preserve">0-14</t>
    </r>
    <r>
      <rPr>
        <sz val="10"/>
        <rFont val="Noto Sans CJK SC"/>
        <family val="2"/>
      </rPr>
      <t xml:space="preserve">／過</t>
    </r>
    <r>
      <rPr>
        <sz val="10"/>
        <rFont val="Microsoft JhengHei"/>
        <family val="0"/>
        <charset val="1"/>
      </rPr>
      <t xml:space="preserve">15-39</t>
    </r>
    <r>
      <rPr>
        <sz val="10"/>
        <rFont val="Noto Sans CJK SC"/>
        <family val="2"/>
      </rPr>
      <t xml:space="preserve">／過</t>
    </r>
    <r>
      <rPr>
        <sz val="10"/>
        <rFont val="Microsoft JhengHei"/>
        <family val="0"/>
        <charset val="1"/>
      </rPr>
      <t xml:space="preserve">40+</t>
    </r>
  </si>
  <si>
    <t xml:space="preserve">　「單科未達」的判斷優先：總分已達及格分，但任一科低於該科門檻 → 用此列。總分未達及格分時，一律依差距分列，不論單科。</t>
  </si>
  <si>
    <r>
      <rPr>
        <sz val="10"/>
        <rFont val="Noto Sans CJK SC"/>
        <family val="2"/>
      </rPr>
      <t xml:space="preserve">表</t>
    </r>
    <r>
      <rPr>
        <sz val="10"/>
        <rFont val="Microsoft JhengHei"/>
        <family val="0"/>
        <charset val="1"/>
      </rPr>
      <t xml:space="preserve">B</t>
    </r>
    <r>
      <rPr>
        <sz val="10"/>
        <rFont val="Noto Sans CJK SC"/>
        <family val="2"/>
      </rPr>
      <t xml:space="preserve">／表</t>
    </r>
    <r>
      <rPr>
        <sz val="10"/>
        <rFont val="Microsoft JhengHei"/>
        <family val="0"/>
        <charset val="1"/>
      </rPr>
      <t xml:space="preserve">R</t>
    </r>
    <r>
      <rPr>
        <sz val="10"/>
        <rFont val="Noto Sans CJK SC"/>
        <family val="2"/>
      </rPr>
      <t xml:space="preserve">／表</t>
    </r>
    <r>
      <rPr>
        <sz val="10"/>
        <rFont val="Microsoft JhengHei"/>
        <family val="0"/>
        <charset val="1"/>
      </rPr>
      <t xml:space="preserve">C</t>
    </r>
    <r>
      <rPr>
        <sz val="10"/>
        <rFont val="Noto Sans CJK SC"/>
        <family val="2"/>
      </rPr>
      <t xml:space="preserve">（看各科分數與門檻）：未達（</t>
    </r>
    <r>
      <rPr>
        <sz val="10"/>
        <rFont val="Microsoft JhengHei"/>
        <family val="0"/>
        <charset val="1"/>
      </rPr>
      <t xml:space="preserve">&lt;</t>
    </r>
    <r>
      <rPr>
        <sz val="10"/>
        <rFont val="Noto Sans CJK SC"/>
        <family val="2"/>
      </rPr>
      <t xml:space="preserve">門檻）／偏低／中／高，各段上限見「級別設定」。</t>
    </r>
  </si>
  <si>
    <r>
      <rPr>
        <b val="true"/>
        <sz val="10"/>
        <rFont val="Noto Sans CJK SC"/>
        <family val="2"/>
      </rPr>
      <t xml:space="preserve">四、參考情報代碼（僅表</t>
    </r>
    <r>
      <rPr>
        <b val="true"/>
        <sz val="10"/>
        <rFont val="Microsoft JhengHei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使用）</t>
    </r>
  </si>
  <si>
    <r>
      <rPr>
        <sz val="10"/>
        <rFont val="Microsoft JhengHei"/>
        <family val="0"/>
        <charset val="1"/>
      </rPr>
      <t xml:space="preserve">AA</t>
    </r>
    <r>
      <rPr>
        <sz val="10"/>
        <rFont val="Noto Sans CJK SC"/>
        <family val="2"/>
      </rPr>
      <t xml:space="preserve">＝單字</t>
    </r>
    <r>
      <rPr>
        <sz val="10"/>
        <rFont val="Microsoft JhengHei"/>
        <family val="0"/>
        <charset val="1"/>
      </rPr>
      <t xml:space="preserve">A</t>
    </r>
    <r>
      <rPr>
        <sz val="10"/>
        <rFont val="Noto Sans CJK SC"/>
        <family val="2"/>
      </rPr>
      <t xml:space="preserve">文法</t>
    </r>
    <r>
      <rPr>
        <sz val="10"/>
        <rFont val="Microsoft JhengHei"/>
        <family val="0"/>
        <charset val="1"/>
      </rPr>
      <t xml:space="preserve">A</t>
    </r>
    <r>
      <rPr>
        <sz val="10"/>
        <rFont val="Noto Sans CJK SC"/>
        <family val="2"/>
      </rPr>
      <t xml:space="preserve">｜</t>
    </r>
    <r>
      <rPr>
        <sz val="10"/>
        <rFont val="Microsoft JhengHei"/>
        <family val="0"/>
        <charset val="1"/>
      </rPr>
      <t xml:space="preserve">AB</t>
    </r>
    <r>
      <rPr>
        <sz val="10"/>
        <rFont val="Noto Sans CJK SC"/>
        <family val="2"/>
      </rPr>
      <t xml:space="preserve">＝單字</t>
    </r>
    <r>
      <rPr>
        <sz val="10"/>
        <rFont val="Microsoft JhengHei"/>
        <family val="0"/>
        <charset val="1"/>
      </rPr>
      <t xml:space="preserve">A</t>
    </r>
    <r>
      <rPr>
        <sz val="10"/>
        <rFont val="Noto Sans CJK SC"/>
        <family val="2"/>
      </rPr>
      <t xml:space="preserve">文法</t>
    </r>
    <r>
      <rPr>
        <sz val="10"/>
        <rFont val="Microsoft JhengHei"/>
        <family val="0"/>
        <charset val="1"/>
      </rPr>
      <t xml:space="preserve">B</t>
    </r>
    <r>
      <rPr>
        <sz val="10"/>
        <rFont val="Noto Sans CJK SC"/>
        <family val="2"/>
      </rPr>
      <t xml:space="preserve">（文法偏弱）｜</t>
    </r>
    <r>
      <rPr>
        <sz val="10"/>
        <rFont val="Microsoft JhengHei"/>
        <family val="0"/>
        <charset val="1"/>
      </rPr>
      <t xml:space="preserve">BA</t>
    </r>
    <r>
      <rPr>
        <sz val="10"/>
        <rFont val="Noto Sans CJK SC"/>
        <family val="2"/>
      </rPr>
      <t xml:space="preserve">＝單字</t>
    </r>
    <r>
      <rPr>
        <sz val="10"/>
        <rFont val="Microsoft JhengHei"/>
        <family val="0"/>
        <charset val="1"/>
      </rPr>
      <t xml:space="preserve">B</t>
    </r>
    <r>
      <rPr>
        <sz val="10"/>
        <rFont val="Noto Sans CJK SC"/>
        <family val="2"/>
      </rPr>
      <t xml:space="preserve">文法</t>
    </r>
    <r>
      <rPr>
        <sz val="10"/>
        <rFont val="Microsoft JhengHei"/>
        <family val="0"/>
        <charset val="1"/>
      </rPr>
      <t xml:space="preserve">A</t>
    </r>
    <r>
      <rPr>
        <sz val="10"/>
        <rFont val="Noto Sans CJK SC"/>
        <family val="2"/>
      </rPr>
      <t xml:space="preserve">（單字偏弱）｜</t>
    </r>
    <r>
      <rPr>
        <sz val="10"/>
        <rFont val="Microsoft JhengHei"/>
        <family val="0"/>
        <charset val="1"/>
      </rPr>
      <t xml:space="preserve">BB</t>
    </r>
    <r>
      <rPr>
        <sz val="10"/>
        <rFont val="Noto Sans CJK SC"/>
        <family val="2"/>
      </rPr>
      <t xml:space="preserve">｜</t>
    </r>
    <r>
      <rPr>
        <sz val="10"/>
        <rFont val="Microsoft JhengHei"/>
        <family val="0"/>
        <charset val="1"/>
      </rPr>
      <t xml:space="preserve">C1</t>
    </r>
    <r>
      <rPr>
        <sz val="10"/>
        <rFont val="Noto Sans CJK SC"/>
        <family val="2"/>
      </rPr>
      <t xml:space="preserve">＝其中一項</t>
    </r>
    <r>
      <rPr>
        <sz val="10"/>
        <rFont val="Microsoft JhengHei"/>
        <family val="0"/>
        <charset val="1"/>
      </rPr>
      <t xml:space="preserve">C</t>
    </r>
    <r>
      <rPr>
        <sz val="10"/>
        <rFont val="Noto Sans CJK SC"/>
        <family val="2"/>
      </rPr>
      <t xml:space="preserve">｜</t>
    </r>
    <r>
      <rPr>
        <sz val="10"/>
        <rFont val="Microsoft JhengHei"/>
        <family val="0"/>
        <charset val="1"/>
      </rPr>
      <t xml:space="preserve">CC</t>
    </r>
    <r>
      <rPr>
        <sz val="10"/>
        <rFont val="Noto Sans CJK SC"/>
        <family val="2"/>
      </rPr>
      <t xml:space="preserve">＝兩項</t>
    </r>
    <r>
      <rPr>
        <sz val="10"/>
        <rFont val="Microsoft JhengHei"/>
        <family val="0"/>
        <charset val="1"/>
      </rPr>
      <t xml:space="preserve">C</t>
    </r>
  </si>
  <si>
    <r>
      <rPr>
        <sz val="10"/>
        <rFont val="Microsoft JhengHei"/>
        <family val="0"/>
        <charset val="1"/>
      </rPr>
      <t xml:space="preserve">C1 </t>
    </r>
    <r>
      <rPr>
        <sz val="10"/>
        <rFont val="Noto Sans CJK SC"/>
        <family val="2"/>
      </rPr>
      <t xml:space="preserve">的評語含「〇〇」，系統代入「單字」或「文法」（哪一項是 </t>
    </r>
    <r>
      <rPr>
        <sz val="10"/>
        <rFont val="Microsoft JhengHei"/>
        <family val="0"/>
        <charset val="1"/>
      </rPr>
      <t xml:space="preserve">C </t>
    </r>
    <r>
      <rPr>
        <sz val="10"/>
        <rFont val="Noto Sans CJK SC"/>
        <family val="2"/>
      </rPr>
      <t xml:space="preserve">就代入哪一項）。</t>
    </r>
  </si>
  <si>
    <r>
      <rPr>
        <sz val="10"/>
        <rFont val="Noto Sans CJK SC"/>
        <family val="2"/>
      </rPr>
      <t xml:space="preserve">表</t>
    </r>
    <r>
      <rPr>
        <sz val="10"/>
        <rFont val="Microsoft JhengHei"/>
        <family val="0"/>
        <charset val="1"/>
      </rPr>
      <t xml:space="preserve">B </t>
    </r>
    <r>
      <rPr>
        <sz val="10"/>
        <rFont val="Noto Sans CJK SC"/>
        <family val="2"/>
      </rPr>
      <t xml:space="preserve">的「高」段只保留 </t>
    </r>
    <r>
      <rPr>
        <sz val="10"/>
        <rFont val="Microsoft JhengHei"/>
        <family val="0"/>
        <charset val="1"/>
      </rPr>
      <t xml:space="preserve">AA</t>
    </r>
    <r>
      <rPr>
        <sz val="10"/>
        <rFont val="Noto Sans CJK SC"/>
        <family val="2"/>
      </rPr>
      <t xml:space="preserve">／</t>
    </r>
    <r>
      <rPr>
        <sz val="10"/>
        <rFont val="Microsoft JhengHei"/>
        <family val="0"/>
        <charset val="1"/>
      </rPr>
      <t xml:space="preserve">AB</t>
    </r>
    <r>
      <rPr>
        <sz val="10"/>
        <rFont val="Noto Sans CJK SC"/>
        <family val="2"/>
      </rPr>
      <t xml:space="preserve">／</t>
    </r>
    <r>
      <rPr>
        <sz val="10"/>
        <rFont val="Microsoft JhengHei"/>
        <family val="0"/>
        <charset val="1"/>
      </rPr>
      <t xml:space="preserve">BA </t>
    </r>
    <r>
      <rPr>
        <sz val="10"/>
        <rFont val="Noto Sans CJK SC"/>
        <family val="2"/>
      </rPr>
      <t xml:space="preserve">三列，其餘組合一律走「其他」（實務上幾乎不會出現）。</t>
    </r>
  </si>
  <si>
    <r>
      <rPr>
        <sz val="10"/>
        <rFont val="Noto Sans CJK SC"/>
        <family val="2"/>
      </rPr>
      <t xml:space="preserve">備註欄標「少見」的列：</t>
    </r>
    <r>
      <rPr>
        <sz val="10"/>
        <rFont val="Microsoft JhengHei"/>
        <family val="0"/>
        <charset val="1"/>
      </rPr>
      <t xml:space="preserve">N1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N3 </t>
    </r>
    <r>
      <rPr>
        <sz val="10"/>
        <rFont val="Noto Sans CJK SC"/>
        <family val="2"/>
      </rPr>
      <t xml:space="preserve">的言語知識＝文字語彙＋文法，參考情報理論上會和分數一致，這些組合只是備用，避免查表落空。</t>
    </r>
  </si>
  <si>
    <t xml:space="preserve">五、級別設定</t>
  </si>
  <si>
    <r>
      <rPr>
        <sz val="10"/>
        <rFont val="Noto Sans CJK SC"/>
        <family val="2"/>
      </rPr>
      <t xml:space="preserve">及格分、各科滿分與門檻依 </t>
    </r>
    <r>
      <rPr>
        <sz val="10"/>
        <rFont val="Microsoft JhengHei"/>
        <family val="0"/>
        <charset val="1"/>
      </rPr>
      <t xml:space="preserve">JLPT </t>
    </r>
    <r>
      <rPr>
        <sz val="10"/>
        <rFont val="Noto Sans CJK SC"/>
        <family val="2"/>
      </rPr>
      <t xml:space="preserve">官方公布；分段上限（偏低上限、中上限）是本表的設計值，可依實際分布調整，調整後表</t>
    </r>
    <r>
      <rPr>
        <sz val="10"/>
        <rFont val="Microsoft JhengHei"/>
        <family val="0"/>
        <charset val="1"/>
      </rPr>
      <t xml:space="preserve">B</t>
    </r>
    <r>
      <rPr>
        <sz val="10"/>
        <rFont val="Noto Sans CJK SC"/>
        <family val="2"/>
      </rPr>
      <t xml:space="preserve">～表</t>
    </r>
    <r>
      <rPr>
        <sz val="10"/>
        <rFont val="Microsoft JhengHei"/>
        <family val="0"/>
        <charset val="1"/>
      </rPr>
      <t xml:space="preserve">C </t>
    </r>
    <r>
      <rPr>
        <sz val="10"/>
        <rFont val="Noto Sans CJK SC"/>
        <family val="2"/>
      </rPr>
      <t xml:space="preserve">的「分數下限／上限」欄需一併改。</t>
    </r>
  </si>
  <si>
    <r>
      <rPr>
        <sz val="10"/>
        <rFont val="Microsoft JhengHei"/>
        <family val="0"/>
        <charset val="1"/>
      </rPr>
      <t xml:space="preserve">N4</t>
    </r>
    <r>
      <rPr>
        <sz val="10"/>
        <rFont val="Noto Sans CJK SC"/>
        <family val="2"/>
      </rPr>
      <t xml:space="preserve">／</t>
    </r>
    <r>
      <rPr>
        <sz val="10"/>
        <rFont val="Microsoft JhengHei"/>
        <family val="0"/>
        <charset val="1"/>
      </rPr>
      <t xml:space="preserve">N5 </t>
    </r>
    <r>
      <rPr>
        <sz val="10"/>
        <rFont val="Noto Sans CJK SC"/>
        <family val="2"/>
      </rPr>
      <t xml:space="preserve">的言語知識科目為「言語知識（文字・語彙・文法）・讀解」合併計分，讀解欄填 </t>
    </r>
    <r>
      <rPr>
        <sz val="10"/>
        <rFont val="Microsoft JhengHei"/>
        <family val="0"/>
        <charset val="1"/>
      </rPr>
      <t xml:space="preserve">0 </t>
    </r>
    <r>
      <rPr>
        <sz val="10"/>
        <rFont val="Noto Sans CJK SC"/>
        <family val="2"/>
      </rPr>
      <t xml:space="preserve">表示無此科。</t>
    </r>
  </si>
  <si>
    <t xml:space="preserve">六、試算</t>
  </si>
  <si>
    <t xml:space="preserve">「試算」分頁黃色欄位可直接輸入一位學生的成績，下方公式會自動判斷代碼並組出完整評語，可用來驗證邏輯，或直接把公式搬到你的系統設定。</t>
  </si>
  <si>
    <t xml:space="preserve">級數</t>
  </si>
  <si>
    <t xml:space="preserve">及格分</t>
  </si>
  <si>
    <t xml:space="preserve">下一級</t>
  </si>
  <si>
    <t xml:space="preserve">言語知識科目名</t>
  </si>
  <si>
    <t xml:space="preserve">言語知識滿分</t>
  </si>
  <si>
    <t xml:space="preserve">言語知識門檻</t>
  </si>
  <si>
    <t xml:space="preserve">言語知識偏低上限</t>
  </si>
  <si>
    <t xml:space="preserve">言語知識中上限</t>
  </si>
  <si>
    <t xml:space="preserve">讀解滿分</t>
  </si>
  <si>
    <t xml:space="preserve">讀解門檻</t>
  </si>
  <si>
    <t xml:space="preserve">讀解偏低上限</t>
  </si>
  <si>
    <t xml:space="preserve">讀解中上限</t>
  </si>
  <si>
    <t xml:space="preserve">聽解滿分</t>
  </si>
  <si>
    <t xml:space="preserve">聽解門檻</t>
  </si>
  <si>
    <t xml:space="preserve">聽解偏低上限</t>
  </si>
  <si>
    <t xml:space="preserve">聽解中上限</t>
  </si>
  <si>
    <t xml:space="preserve">N1</t>
  </si>
  <si>
    <t xml:space="preserve">—</t>
  </si>
  <si>
    <t xml:space="preserve">言語知識</t>
  </si>
  <si>
    <t xml:space="preserve">N2</t>
  </si>
  <si>
    <t xml:space="preserve">N3</t>
  </si>
  <si>
    <t xml:space="preserve">N4</t>
  </si>
  <si>
    <t xml:space="preserve">言語知識・讀解</t>
  </si>
  <si>
    <t xml:space="preserve">N5</t>
  </si>
  <si>
    <r>
      <rPr>
        <sz val="10"/>
        <rFont val="Noto Sans CJK SC"/>
        <family val="2"/>
      </rPr>
      <t xml:space="preserve">註：及格分、滿分、門檻為 </t>
    </r>
    <r>
      <rPr>
        <sz val="10"/>
        <rFont val="Microsoft JhengHei"/>
        <family val="0"/>
        <charset val="1"/>
      </rPr>
      <t xml:space="preserve">JLPT </t>
    </r>
    <r>
      <rPr>
        <sz val="10"/>
        <rFont val="Noto Sans CJK SC"/>
        <family val="2"/>
      </rPr>
      <t xml:space="preserve">官方規定；偏低上限與中上限為本表設計值（藍字可改）。讀解滿分 </t>
    </r>
    <r>
      <rPr>
        <sz val="10"/>
        <rFont val="Microsoft JhengHei"/>
        <family val="0"/>
        <charset val="1"/>
      </rPr>
      <t xml:space="preserve">0 </t>
    </r>
    <r>
      <rPr>
        <sz val="10"/>
        <rFont val="Noto Sans CJK SC"/>
        <family val="2"/>
      </rPr>
      <t xml:space="preserve">表示該級無獨立讀解科（</t>
    </r>
    <r>
      <rPr>
        <sz val="10"/>
        <rFont val="Microsoft JhengHei"/>
        <family val="0"/>
        <charset val="1"/>
      </rPr>
      <t xml:space="preserve">N4</t>
    </r>
    <r>
      <rPr>
        <sz val="10"/>
        <rFont val="Noto Sans CJK SC"/>
        <family val="2"/>
      </rPr>
      <t xml:space="preserve">／</t>
    </r>
    <r>
      <rPr>
        <sz val="10"/>
        <rFont val="Microsoft JhengHei"/>
        <family val="0"/>
        <charset val="1"/>
      </rPr>
      <t xml:space="preserve">N5 </t>
    </r>
    <r>
      <rPr>
        <sz val="10"/>
        <rFont val="Noto Sans CJK SC"/>
        <family val="2"/>
      </rPr>
      <t xml:space="preserve">併入言語知識）。</t>
    </r>
  </si>
  <si>
    <t xml:space="preserve">表</t>
  </si>
  <si>
    <t xml:space="preserve">區間代碼</t>
  </si>
  <si>
    <t xml:space="preserve">參考情報</t>
  </si>
  <si>
    <t xml:space="preserve">查表鍵</t>
  </si>
  <si>
    <t xml:space="preserve">條件說明</t>
  </si>
  <si>
    <t xml:space="preserve">分數下限</t>
  </si>
  <si>
    <t xml:space="preserve">分數上限</t>
  </si>
  <si>
    <t xml:space="preserve">評語／開頭句</t>
  </si>
  <si>
    <r>
      <rPr>
        <b val="true"/>
        <sz val="10"/>
        <rFont val="Noto Sans CJK SC"/>
        <family val="2"/>
      </rPr>
      <t xml:space="preserve">結尾句（表</t>
    </r>
    <r>
      <rPr>
        <b val="true"/>
        <sz val="10"/>
        <rFont val="Microsoft JhengHei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）</t>
    </r>
  </si>
  <si>
    <t xml:space="preserve">備註</t>
  </si>
  <si>
    <r>
      <rPr>
        <sz val="10"/>
        <rFont val="Microsoft JhengHei"/>
        <family val="0"/>
        <charset val="1"/>
      </rPr>
      <t xml:space="preserve">A_</t>
    </r>
    <r>
      <rPr>
        <sz val="10"/>
        <rFont val="Noto Sans CJK SC"/>
        <family val="2"/>
      </rPr>
      <t xml:space="preserve">總判定</t>
    </r>
  </si>
  <si>
    <t xml:space="preserve">單科未達</t>
  </si>
  <si>
    <t xml:space="preserve">-</t>
  </si>
  <si>
    <r>
      <rPr>
        <sz val="10"/>
        <rFont val="Microsoft JhengHei"/>
        <family val="0"/>
        <charset val="1"/>
      </rPr>
      <t xml:space="preserve">N1|A_</t>
    </r>
    <r>
      <rPr>
        <sz val="10"/>
        <rFont val="Noto Sans CJK SC"/>
        <family val="2"/>
      </rPr>
      <t xml:space="preserve">總判定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單科未達</t>
    </r>
    <r>
      <rPr>
        <sz val="10"/>
        <rFont val="Microsoft JhengHei"/>
        <family val="0"/>
        <charset val="1"/>
      </rPr>
      <t xml:space="preserve">|-</t>
    </r>
  </si>
  <si>
    <r>
      <rPr>
        <sz val="10"/>
        <rFont val="Noto Sans CJK SC"/>
        <family val="2"/>
      </rPr>
      <t xml:space="preserve">總分≥</t>
    </r>
    <r>
      <rPr>
        <sz val="10"/>
        <rFont val="Microsoft JhengHei"/>
        <family val="0"/>
        <charset val="1"/>
      </rPr>
      <t xml:space="preserve">100 </t>
    </r>
    <r>
      <rPr>
        <sz val="10"/>
        <rFont val="Noto Sans CJK SC"/>
        <family val="2"/>
      </rPr>
      <t xml:space="preserve">但有一科未達門檻</t>
    </r>
  </si>
  <si>
    <t xml:space="preserve">這次總分其實已經到了，只是有一科差了一點沒過線，真的很可惜。日檢是每一科都要過最低分數才算合格，所以這次還差一步，但你整體的實力其實已經夠了。</t>
  </si>
  <si>
    <r>
      <rPr>
        <sz val="10"/>
        <rFont val="Noto Sans CJK SC"/>
        <family val="2"/>
      </rPr>
      <t xml:space="preserve">現在先集中把那一科補起來，其他科維持住，</t>
    </r>
    <r>
      <rPr>
        <sz val="10"/>
        <rFont val="Microsoft JhengHei"/>
        <family val="0"/>
        <charset val="1"/>
      </rPr>
      <t xml:space="preserve">12 </t>
    </r>
    <r>
      <rPr>
        <sz val="10"/>
        <rFont val="Noto Sans CJK SC"/>
        <family val="2"/>
      </rPr>
      <t xml:space="preserve">月再考一次 </t>
    </r>
    <r>
      <rPr>
        <sz val="10"/>
        <rFont val="Microsoft JhengHei"/>
        <family val="0"/>
        <charset val="1"/>
      </rPr>
      <t xml:space="preserve">N1</t>
    </r>
    <r>
      <rPr>
        <sz val="10"/>
        <rFont val="Noto Sans CJK SC"/>
        <family val="2"/>
      </rPr>
      <t xml:space="preserve">，應該就能順利過了。</t>
    </r>
  </si>
  <si>
    <t xml:space="preserve">總分達及格但任一科未達門檻，優先於其他列</t>
  </si>
  <si>
    <r>
      <rPr>
        <sz val="10"/>
        <rFont val="Noto Sans CJK SC"/>
        <family val="2"/>
      </rPr>
      <t xml:space="preserve">差</t>
    </r>
    <r>
      <rPr>
        <sz val="10"/>
        <rFont val="Microsoft JhengHei"/>
        <family val="0"/>
        <charset val="1"/>
      </rPr>
      <t xml:space="preserve">20+</t>
    </r>
  </si>
  <si>
    <r>
      <rPr>
        <sz val="10"/>
        <rFont val="Microsoft JhengHei"/>
        <family val="0"/>
        <charset val="1"/>
      </rPr>
      <t xml:space="preserve">N1|A_</t>
    </r>
    <r>
      <rPr>
        <sz val="10"/>
        <rFont val="Noto Sans CJK SC"/>
        <family val="2"/>
      </rPr>
      <t xml:space="preserve">總判定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差</t>
    </r>
    <r>
      <rPr>
        <sz val="10"/>
        <rFont val="Microsoft JhengHei"/>
        <family val="0"/>
        <charset val="1"/>
      </rPr>
      <t xml:space="preserve">20+|-</t>
    </r>
  </si>
  <si>
    <r>
      <rPr>
        <sz val="10"/>
        <rFont val="Noto Sans CJK SC"/>
        <family val="2"/>
      </rPr>
      <t xml:space="preserve">總分 ≤ </t>
    </r>
    <r>
      <rPr>
        <sz val="10"/>
        <rFont val="Microsoft JhengHei"/>
        <family val="0"/>
        <charset val="1"/>
      </rPr>
      <t xml:space="preserve">80</t>
    </r>
    <r>
      <rPr>
        <sz val="10"/>
        <rFont val="Noto Sans CJK SC"/>
        <family val="2"/>
      </rPr>
      <t xml:space="preserve">（差 </t>
    </r>
    <r>
      <rPr>
        <sz val="10"/>
        <rFont val="Microsoft JhengHei"/>
        <family val="0"/>
        <charset val="1"/>
      </rPr>
      <t xml:space="preserve">20 </t>
    </r>
    <r>
      <rPr>
        <sz val="10"/>
        <rFont val="Noto Sans CJK SC"/>
        <family val="2"/>
      </rPr>
      <t xml:space="preserve">分以上）</t>
    </r>
  </si>
  <si>
    <r>
      <rPr>
        <sz val="10"/>
        <rFont val="Noto Sans CJK SC"/>
        <family val="2"/>
      </rPr>
      <t xml:space="preserve">你願意把成績交出來，這一步就很值得肯定。這次的分數離及格還有一段距離，表示 </t>
    </r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的內容對現在的你來說還有點深，這很正常。</t>
    </r>
  </si>
  <si>
    <r>
      <rPr>
        <sz val="10"/>
        <rFont val="Microsoft JhengHei"/>
        <family val="0"/>
        <charset val="1"/>
      </rPr>
      <t xml:space="preserve">12 </t>
    </r>
    <r>
      <rPr>
        <sz val="10"/>
        <rFont val="Noto Sans CJK SC"/>
        <family val="2"/>
      </rPr>
      <t xml:space="preserve">月要再考一次 </t>
    </r>
    <r>
      <rPr>
        <sz val="10"/>
        <rFont val="Microsoft JhengHei"/>
        <family val="0"/>
        <charset val="1"/>
      </rPr>
      <t xml:space="preserve">N1</t>
    </r>
    <r>
      <rPr>
        <sz val="10"/>
        <rFont val="Noto Sans CJK SC"/>
        <family val="2"/>
      </rPr>
      <t xml:space="preserve">，還是先回 </t>
    </r>
    <r>
      <rPr>
        <sz val="10"/>
        <rFont val="Microsoft JhengHei"/>
        <family val="0"/>
        <charset val="1"/>
      </rPr>
      <t xml:space="preserve">N2 </t>
    </r>
    <r>
      <rPr>
        <sz val="10"/>
        <rFont val="Noto Sans CJK SC"/>
        <family val="2"/>
      </rPr>
      <t xml:space="preserve">拿一個穩穩的合格，可以找我聊聊再決定，兩種都可以。</t>
    </r>
  </si>
  <si>
    <r>
      <rPr>
        <sz val="10"/>
        <rFont val="Noto Sans CJK SC"/>
        <family val="2"/>
      </rPr>
      <t xml:space="preserve">差</t>
    </r>
    <r>
      <rPr>
        <sz val="10"/>
        <rFont val="Microsoft JhengHei"/>
        <family val="0"/>
        <charset val="1"/>
      </rPr>
      <t xml:space="preserve">1-19</t>
    </r>
  </si>
  <si>
    <r>
      <rPr>
        <sz val="10"/>
        <rFont val="Microsoft JhengHei"/>
        <family val="0"/>
        <charset val="1"/>
      </rPr>
      <t xml:space="preserve">N1|A_</t>
    </r>
    <r>
      <rPr>
        <sz val="10"/>
        <rFont val="Noto Sans CJK SC"/>
        <family val="2"/>
      </rPr>
      <t xml:space="preserve">總判定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差</t>
    </r>
    <r>
      <rPr>
        <sz val="10"/>
        <rFont val="Microsoft JhengHei"/>
        <family val="0"/>
        <charset val="1"/>
      </rPr>
      <t xml:space="preserve">1-19|-</t>
    </r>
  </si>
  <si>
    <r>
      <rPr>
        <sz val="10"/>
        <rFont val="Noto Sans CJK SC"/>
        <family val="2"/>
      </rPr>
      <t xml:space="preserve">總分 </t>
    </r>
    <r>
      <rPr>
        <sz val="10"/>
        <rFont val="Microsoft JhengHei"/>
        <family val="0"/>
        <charset val="1"/>
      </rPr>
      <t xml:space="preserve">81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99</t>
    </r>
    <r>
      <rPr>
        <sz val="10"/>
        <rFont val="Noto Sans CJK SC"/>
        <family val="2"/>
      </rPr>
      <t xml:space="preserve">（差 </t>
    </r>
    <r>
      <rPr>
        <sz val="10"/>
        <rFont val="Microsoft JhengHei"/>
        <family val="0"/>
        <charset val="1"/>
      </rPr>
      <t xml:space="preserve">1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19 </t>
    </r>
    <r>
      <rPr>
        <sz val="10"/>
        <rFont val="Noto Sans CJK SC"/>
        <family val="2"/>
      </rPr>
      <t xml:space="preserve">分）</t>
    </r>
  </si>
  <si>
    <r>
      <rPr>
        <sz val="10"/>
        <rFont val="Noto Sans CJK SC"/>
        <family val="2"/>
      </rPr>
      <t xml:space="preserve">這次其實只差一點點就及格了，代表你 </t>
    </r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的基礎已經有了，只是還不太穩。</t>
    </r>
  </si>
  <si>
    <r>
      <rPr>
        <sz val="10"/>
        <rFont val="Noto Sans CJK SC"/>
        <family val="2"/>
      </rPr>
      <t xml:space="preserve">這種差距通常再練一輪就跨得過去，照上面的方向補一補，</t>
    </r>
    <r>
      <rPr>
        <sz val="10"/>
        <rFont val="Microsoft JhengHei"/>
        <family val="0"/>
        <charset val="1"/>
      </rPr>
      <t xml:space="preserve">12 </t>
    </r>
    <r>
      <rPr>
        <sz val="10"/>
        <rFont val="Noto Sans CJK SC"/>
        <family val="2"/>
      </rPr>
      <t xml:space="preserve">月再考一次 </t>
    </r>
    <r>
      <rPr>
        <sz val="10"/>
        <rFont val="Microsoft JhengHei"/>
        <family val="0"/>
        <charset val="1"/>
      </rPr>
      <t xml:space="preserve">N1</t>
    </r>
    <r>
      <rPr>
        <sz val="10"/>
        <rFont val="Noto Sans CJK SC"/>
        <family val="2"/>
      </rPr>
      <t xml:space="preserve">，不用太擔心。</t>
    </r>
  </si>
  <si>
    <r>
      <rPr>
        <sz val="10"/>
        <rFont val="Noto Sans CJK SC"/>
        <family val="2"/>
      </rPr>
      <t xml:space="preserve">過</t>
    </r>
    <r>
      <rPr>
        <sz val="10"/>
        <rFont val="Microsoft JhengHei"/>
        <family val="0"/>
        <charset val="1"/>
      </rPr>
      <t xml:space="preserve">0-14</t>
    </r>
  </si>
  <si>
    <r>
      <rPr>
        <sz val="10"/>
        <rFont val="Microsoft JhengHei"/>
        <family val="0"/>
        <charset val="1"/>
      </rPr>
      <t xml:space="preserve">N1|A_</t>
    </r>
    <r>
      <rPr>
        <sz val="10"/>
        <rFont val="Noto Sans CJK SC"/>
        <family val="2"/>
      </rPr>
      <t xml:space="preserve">總判定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過</t>
    </r>
    <r>
      <rPr>
        <sz val="10"/>
        <rFont val="Microsoft JhengHei"/>
        <family val="0"/>
        <charset val="1"/>
      </rPr>
      <t xml:space="preserve">0-14|-</t>
    </r>
  </si>
  <si>
    <r>
      <rPr>
        <sz val="10"/>
        <rFont val="Noto Sans CJK SC"/>
        <family val="2"/>
      </rPr>
      <t xml:space="preserve">總分 </t>
    </r>
    <r>
      <rPr>
        <sz val="10"/>
        <rFont val="Microsoft JhengHei"/>
        <family val="0"/>
        <charset val="1"/>
      </rPr>
      <t xml:space="preserve">100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114</t>
    </r>
    <r>
      <rPr>
        <sz val="10"/>
        <rFont val="Noto Sans CJK SC"/>
        <family val="2"/>
      </rPr>
      <t xml:space="preserve">（合格，多 </t>
    </r>
    <r>
      <rPr>
        <sz val="10"/>
        <rFont val="Microsoft JhengHei"/>
        <family val="0"/>
        <charset val="1"/>
      </rPr>
      <t xml:space="preserve">0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14 </t>
    </r>
    <r>
      <rPr>
        <sz val="10"/>
        <rFont val="Noto Sans CJK SC"/>
        <family val="2"/>
      </rPr>
      <t xml:space="preserve">分）</t>
    </r>
  </si>
  <si>
    <t xml:space="preserve">恭喜合格囉！不過分數就在及格線附近，表示有些地方可能還不夠穩。</t>
  </si>
  <si>
    <r>
      <rPr>
        <sz val="10"/>
        <rFont val="Microsoft JhengHei"/>
        <family val="0"/>
        <charset val="1"/>
      </rPr>
      <t xml:space="preserve">12 </t>
    </r>
    <r>
      <rPr>
        <sz val="10"/>
        <rFont val="Noto Sans CJK SC"/>
        <family val="2"/>
      </rPr>
      <t xml:space="preserve">月可以再考一次 </t>
    </r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把分數拉高，證書上的分數之後申請或求職會有差；覺得夠用了的話，也可以先休息一下，把重心放在實際運用上。</t>
    </r>
  </si>
  <si>
    <r>
      <rPr>
        <sz val="10"/>
        <rFont val="Noto Sans CJK SC"/>
        <family val="2"/>
      </rPr>
      <t xml:space="preserve">過</t>
    </r>
    <r>
      <rPr>
        <sz val="10"/>
        <rFont val="Microsoft JhengHei"/>
        <family val="0"/>
        <charset val="1"/>
      </rPr>
      <t xml:space="preserve">15-39</t>
    </r>
  </si>
  <si>
    <r>
      <rPr>
        <sz val="10"/>
        <rFont val="Microsoft JhengHei"/>
        <family val="0"/>
        <charset val="1"/>
      </rPr>
      <t xml:space="preserve">N1|A_</t>
    </r>
    <r>
      <rPr>
        <sz val="10"/>
        <rFont val="Noto Sans CJK SC"/>
        <family val="2"/>
      </rPr>
      <t xml:space="preserve">總判定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過</t>
    </r>
    <r>
      <rPr>
        <sz val="10"/>
        <rFont val="Microsoft JhengHei"/>
        <family val="0"/>
        <charset val="1"/>
      </rPr>
      <t xml:space="preserve">15-39|-</t>
    </r>
  </si>
  <si>
    <r>
      <rPr>
        <sz val="10"/>
        <rFont val="Noto Sans CJK SC"/>
        <family val="2"/>
      </rPr>
      <t xml:space="preserve">總分 </t>
    </r>
    <r>
      <rPr>
        <sz val="10"/>
        <rFont val="Microsoft JhengHei"/>
        <family val="0"/>
        <charset val="1"/>
      </rPr>
      <t xml:space="preserve">115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139</t>
    </r>
    <r>
      <rPr>
        <sz val="10"/>
        <rFont val="Noto Sans CJK SC"/>
        <family val="2"/>
      </rPr>
      <t xml:space="preserve">（合格，多 </t>
    </r>
    <r>
      <rPr>
        <sz val="10"/>
        <rFont val="Microsoft JhengHei"/>
        <family val="0"/>
        <charset val="1"/>
      </rPr>
      <t xml:space="preserve">15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39 </t>
    </r>
    <r>
      <rPr>
        <sz val="10"/>
        <rFont val="Noto Sans CJK SC"/>
        <family val="2"/>
      </rPr>
      <t xml:space="preserve">分）</t>
    </r>
  </si>
  <si>
    <r>
      <rPr>
        <sz val="10"/>
        <rFont val="Noto Sans CJK SC"/>
        <family val="2"/>
      </rPr>
      <t xml:space="preserve">恭喜合格！而且是穩穩地過，</t>
    </r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的內容已經掌握得不錯了。</t>
    </r>
  </si>
  <si>
    <r>
      <rPr>
        <sz val="10"/>
        <rFont val="Microsoft JhengHei"/>
        <family val="0"/>
        <charset val="1"/>
      </rPr>
      <t xml:space="preserve">12 </t>
    </r>
    <r>
      <rPr>
        <sz val="10"/>
        <rFont val="Noto Sans CJK SC"/>
        <family val="2"/>
      </rPr>
      <t xml:space="preserve">月不一定要再考，想拚更高的分數可以再報一次；不然接下來就是把日文真正用起來，像是看原文書、聽日文的節目，或準備 </t>
    </r>
    <r>
      <rPr>
        <sz val="10"/>
        <rFont val="Microsoft JhengHei"/>
        <family val="0"/>
        <charset val="1"/>
      </rPr>
      <t xml:space="preserve">BJT </t>
    </r>
    <r>
      <rPr>
        <sz val="10"/>
        <rFont val="Noto Sans CJK SC"/>
        <family val="2"/>
      </rPr>
      <t xml:space="preserve">商務日語。</t>
    </r>
  </si>
  <si>
    <r>
      <rPr>
        <sz val="10"/>
        <rFont val="Noto Sans CJK SC"/>
        <family val="2"/>
      </rPr>
      <t xml:space="preserve">過</t>
    </r>
    <r>
      <rPr>
        <sz val="10"/>
        <rFont val="Microsoft JhengHei"/>
        <family val="0"/>
        <charset val="1"/>
      </rPr>
      <t xml:space="preserve">40+</t>
    </r>
  </si>
  <si>
    <r>
      <rPr>
        <sz val="10"/>
        <rFont val="Microsoft JhengHei"/>
        <family val="0"/>
        <charset val="1"/>
      </rPr>
      <t xml:space="preserve">N1|A_</t>
    </r>
    <r>
      <rPr>
        <sz val="10"/>
        <rFont val="Noto Sans CJK SC"/>
        <family val="2"/>
      </rPr>
      <t xml:space="preserve">總判定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過</t>
    </r>
    <r>
      <rPr>
        <sz val="10"/>
        <rFont val="Microsoft JhengHei"/>
        <family val="0"/>
        <charset val="1"/>
      </rPr>
      <t xml:space="preserve">40+|-</t>
    </r>
  </si>
  <si>
    <r>
      <rPr>
        <sz val="10"/>
        <rFont val="Noto Sans CJK SC"/>
        <family val="2"/>
      </rPr>
      <t xml:space="preserve">總分 ≥ </t>
    </r>
    <r>
      <rPr>
        <sz val="10"/>
        <rFont val="Microsoft JhengHei"/>
        <family val="0"/>
        <charset val="1"/>
      </rPr>
      <t xml:space="preserve">140</t>
    </r>
    <r>
      <rPr>
        <sz val="10"/>
        <rFont val="Noto Sans CJK SC"/>
        <family val="2"/>
      </rPr>
      <t xml:space="preserve">（合格，多 </t>
    </r>
    <r>
      <rPr>
        <sz val="10"/>
        <rFont val="Microsoft JhengHei"/>
        <family val="0"/>
        <charset val="1"/>
      </rPr>
      <t xml:space="preserve">40 </t>
    </r>
    <r>
      <rPr>
        <sz val="10"/>
        <rFont val="Noto Sans CJK SC"/>
        <family val="2"/>
      </rPr>
      <t xml:space="preserve">分以上）</t>
    </r>
  </si>
  <si>
    <r>
      <rPr>
        <sz val="10"/>
        <rFont val="Noto Sans CJK SC"/>
        <family val="2"/>
      </rPr>
      <t xml:space="preserve">恭喜，這次的成績很不錯，</t>
    </r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這關已經穩穩過了。</t>
    </r>
  </si>
  <si>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已經不需要再考了，接下來可以把目標放在真正使用日文，像是留學、工作或翻譯的方向，需要的話我們可以聊聊下一步。</t>
    </r>
  </si>
  <si>
    <r>
      <rPr>
        <sz val="10"/>
        <rFont val="Microsoft JhengHei"/>
        <family val="0"/>
        <charset val="1"/>
      </rPr>
      <t xml:space="preserve">B_</t>
    </r>
    <r>
      <rPr>
        <sz val="10"/>
        <rFont val="Noto Sans CJK SC"/>
        <family val="2"/>
      </rPr>
      <t xml:space="preserve">言語知識</t>
    </r>
  </si>
  <si>
    <t xml:space="preserve">未達</t>
  </si>
  <si>
    <t xml:space="preserve">AA</t>
  </si>
  <si>
    <r>
      <rPr>
        <sz val="10"/>
        <rFont val="Microsoft JhengHei"/>
        <family val="0"/>
        <charset val="1"/>
      </rPr>
      <t xml:space="preserve">N1|B_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未達</t>
    </r>
    <r>
      <rPr>
        <sz val="10"/>
        <rFont val="Microsoft JhengHei"/>
        <family val="0"/>
        <charset val="1"/>
      </rPr>
      <t xml:space="preserve">|AA</t>
    </r>
  </si>
  <si>
    <r>
      <rPr>
        <sz val="10"/>
        <rFont val="Noto Sans CJK SC"/>
        <family val="2"/>
      </rPr>
      <t xml:space="preserve">言語知識 </t>
    </r>
    <r>
      <rPr>
        <sz val="10"/>
        <rFont val="Microsoft JhengHei"/>
        <family val="0"/>
        <charset val="1"/>
      </rPr>
      <t xml:space="preserve">0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18</t>
    </r>
    <r>
      <rPr>
        <sz val="10"/>
        <rFont val="Noto Sans CJK SC"/>
        <family val="2"/>
      </rPr>
      <t xml:space="preserve">／單字 </t>
    </r>
    <r>
      <rPr>
        <sz val="10"/>
        <rFont val="Microsoft JhengHei"/>
        <family val="0"/>
        <charset val="1"/>
      </rPr>
      <t xml:space="preserve">A</t>
    </r>
    <r>
      <rPr>
        <sz val="10"/>
        <rFont val="Noto Sans CJK SC"/>
        <family val="2"/>
      </rPr>
      <t xml:space="preserve">／文法 </t>
    </r>
    <r>
      <rPr>
        <sz val="10"/>
        <rFont val="Microsoft JhengHei"/>
        <family val="0"/>
        <charset val="1"/>
      </rPr>
      <t xml:space="preserve">A</t>
    </r>
  </si>
  <si>
    <t xml:space="preserve">言語知識這科的分數比較低，還沒過線，不過單字和文法看起來都掌握得不錯，這和分數有點對不起來，可能是考試當天狀況不太好。建議先確認一下成績單，再做幾回模擬題看看實際落在哪裡。</t>
  </si>
  <si>
    <t xml:space="preserve">少見</t>
  </si>
  <si>
    <t xml:space="preserve">AB</t>
  </si>
  <si>
    <r>
      <rPr>
        <sz val="10"/>
        <rFont val="Microsoft JhengHei"/>
        <family val="0"/>
        <charset val="1"/>
      </rPr>
      <t xml:space="preserve">N1|B_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未達</t>
    </r>
    <r>
      <rPr>
        <sz val="10"/>
        <rFont val="Microsoft JhengHei"/>
        <family val="0"/>
        <charset val="1"/>
      </rPr>
      <t xml:space="preserve">|AB</t>
    </r>
  </si>
  <si>
    <r>
      <rPr>
        <sz val="10"/>
        <rFont val="Noto Sans CJK SC"/>
        <family val="2"/>
      </rPr>
      <t xml:space="preserve">言語知識 </t>
    </r>
    <r>
      <rPr>
        <sz val="10"/>
        <rFont val="Microsoft JhengHei"/>
        <family val="0"/>
        <charset val="1"/>
      </rPr>
      <t xml:space="preserve">0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18</t>
    </r>
    <r>
      <rPr>
        <sz val="10"/>
        <rFont val="Noto Sans CJK SC"/>
        <family val="2"/>
      </rPr>
      <t xml:space="preserve">／單字 </t>
    </r>
    <r>
      <rPr>
        <sz val="10"/>
        <rFont val="Microsoft JhengHei"/>
        <family val="0"/>
        <charset val="1"/>
      </rPr>
      <t xml:space="preserve">A</t>
    </r>
    <r>
      <rPr>
        <sz val="10"/>
        <rFont val="Noto Sans CJK SC"/>
        <family val="2"/>
      </rPr>
      <t xml:space="preserve">／文法 </t>
    </r>
    <r>
      <rPr>
        <sz val="10"/>
        <rFont val="Microsoft JhengHei"/>
        <family val="0"/>
        <charset val="1"/>
      </rPr>
      <t xml:space="preserve">B</t>
    </r>
  </si>
  <si>
    <r>
      <rPr>
        <sz val="10"/>
        <rFont val="Noto Sans CJK SC"/>
        <family val="2"/>
      </rPr>
      <t xml:space="preserve">言語知識這科的分數比較低，還沒過線，單字的部分你掌握得不錯，文法比較弱一些，</t>
    </r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的文語表現和高階句型平常很少用到，容易一看就陌生。建議可以把 </t>
    </r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的句型按意思分組整理，特別是書面才會出現的用法，多看例句記住語感，句型看熟了，這科的分數會慢慢回來。</t>
    </r>
  </si>
  <si>
    <t xml:space="preserve">BA</t>
  </si>
  <si>
    <r>
      <rPr>
        <sz val="10"/>
        <rFont val="Microsoft JhengHei"/>
        <family val="0"/>
        <charset val="1"/>
      </rPr>
      <t xml:space="preserve">N1|B_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未達</t>
    </r>
    <r>
      <rPr>
        <sz val="10"/>
        <rFont val="Microsoft JhengHei"/>
        <family val="0"/>
        <charset val="1"/>
      </rPr>
      <t xml:space="preserve">|BA</t>
    </r>
  </si>
  <si>
    <r>
      <rPr>
        <sz val="10"/>
        <rFont val="Noto Sans CJK SC"/>
        <family val="2"/>
      </rPr>
      <t xml:space="preserve">言語知識 </t>
    </r>
    <r>
      <rPr>
        <sz val="10"/>
        <rFont val="Microsoft JhengHei"/>
        <family val="0"/>
        <charset val="1"/>
      </rPr>
      <t xml:space="preserve">0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18</t>
    </r>
    <r>
      <rPr>
        <sz val="10"/>
        <rFont val="Noto Sans CJK SC"/>
        <family val="2"/>
      </rPr>
      <t xml:space="preserve">／單字 </t>
    </r>
    <r>
      <rPr>
        <sz val="10"/>
        <rFont val="Microsoft JhengHei"/>
        <family val="0"/>
        <charset val="1"/>
      </rPr>
      <t xml:space="preserve">B</t>
    </r>
    <r>
      <rPr>
        <sz val="10"/>
        <rFont val="Noto Sans CJK SC"/>
        <family val="2"/>
      </rPr>
      <t xml:space="preserve">／文法 </t>
    </r>
    <r>
      <rPr>
        <sz val="10"/>
        <rFont val="Microsoft JhengHei"/>
        <family val="0"/>
        <charset val="1"/>
      </rPr>
      <t xml:space="preserve">A</t>
    </r>
  </si>
  <si>
    <r>
      <rPr>
        <sz val="10"/>
        <rFont val="Noto Sans CJK SC"/>
        <family val="2"/>
      </rPr>
      <t xml:space="preserve">言語知識這科的分數比較低，還沒過線，文法的部分掌握得還可以，單字比較弱一些，</t>
    </r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的抽象詞彙和書面語量很大，平常比較少接觸。建議可以每天固定背一小批，從新聞和社論裡挑常出現的字先記，字認得多了，這科的分數會慢慢回來。</t>
    </r>
  </si>
  <si>
    <t xml:space="preserve">BB</t>
  </si>
  <si>
    <r>
      <rPr>
        <sz val="10"/>
        <rFont val="Microsoft JhengHei"/>
        <family val="0"/>
        <charset val="1"/>
      </rPr>
      <t xml:space="preserve">N1|B_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未達</t>
    </r>
    <r>
      <rPr>
        <sz val="10"/>
        <rFont val="Microsoft JhengHei"/>
        <family val="0"/>
        <charset val="1"/>
      </rPr>
      <t xml:space="preserve">|BB</t>
    </r>
  </si>
  <si>
    <r>
      <rPr>
        <sz val="10"/>
        <rFont val="Noto Sans CJK SC"/>
        <family val="2"/>
      </rPr>
      <t xml:space="preserve">言語知識 </t>
    </r>
    <r>
      <rPr>
        <sz val="10"/>
        <rFont val="Microsoft JhengHei"/>
        <family val="0"/>
        <charset val="1"/>
      </rPr>
      <t xml:space="preserve">0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18</t>
    </r>
    <r>
      <rPr>
        <sz val="10"/>
        <rFont val="Noto Sans CJK SC"/>
        <family val="2"/>
      </rPr>
      <t xml:space="preserve">／單字 </t>
    </r>
    <r>
      <rPr>
        <sz val="10"/>
        <rFont val="Microsoft JhengHei"/>
        <family val="0"/>
        <charset val="1"/>
      </rPr>
      <t xml:space="preserve">B</t>
    </r>
    <r>
      <rPr>
        <sz val="10"/>
        <rFont val="Noto Sans CJK SC"/>
        <family val="2"/>
      </rPr>
      <t xml:space="preserve">／文法 </t>
    </r>
    <r>
      <rPr>
        <sz val="10"/>
        <rFont val="Microsoft JhengHei"/>
        <family val="0"/>
        <charset val="1"/>
      </rPr>
      <t xml:space="preserve">B</t>
    </r>
  </si>
  <si>
    <r>
      <rPr>
        <sz val="10"/>
        <rFont val="Noto Sans CJK SC"/>
        <family val="2"/>
      </rPr>
      <t xml:space="preserve">言語知識這科的分數比較低，還沒過線，表示你對</t>
    </r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的單字和句型都還沒那麼熟練。建議先把</t>
    </r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的單字和句型完整複習一輪，再做題目，分數會慢慢回來。</t>
    </r>
  </si>
  <si>
    <t xml:space="preserve">C1</t>
  </si>
  <si>
    <r>
      <rPr>
        <sz val="10"/>
        <rFont val="Microsoft JhengHei"/>
        <family val="0"/>
        <charset val="1"/>
      </rPr>
      <t xml:space="preserve">N1|B_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未達</t>
    </r>
    <r>
      <rPr>
        <sz val="10"/>
        <rFont val="Microsoft JhengHei"/>
        <family val="0"/>
        <charset val="1"/>
      </rPr>
      <t xml:space="preserve">|C1</t>
    </r>
  </si>
  <si>
    <r>
      <rPr>
        <sz val="10"/>
        <rFont val="Noto Sans CJK SC"/>
        <family val="2"/>
      </rPr>
      <t xml:space="preserve">言語知識 </t>
    </r>
    <r>
      <rPr>
        <sz val="10"/>
        <rFont val="Microsoft JhengHei"/>
        <family val="0"/>
        <charset val="1"/>
      </rPr>
      <t xml:space="preserve">0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18</t>
    </r>
    <r>
      <rPr>
        <sz val="10"/>
        <rFont val="Noto Sans CJK SC"/>
        <family val="2"/>
      </rPr>
      <t xml:space="preserve">／單項 </t>
    </r>
    <r>
      <rPr>
        <sz val="10"/>
        <rFont val="Microsoft JhengHei"/>
        <family val="0"/>
        <charset val="1"/>
      </rPr>
      <t xml:space="preserve">C</t>
    </r>
    <r>
      <rPr>
        <sz val="10"/>
        <rFont val="Noto Sans CJK SC"/>
        <family val="2"/>
      </rPr>
      <t xml:space="preserve">（另一項 </t>
    </r>
    <r>
      <rPr>
        <sz val="10"/>
        <rFont val="Microsoft JhengHei"/>
        <family val="0"/>
        <charset val="1"/>
      </rPr>
      <t xml:space="preserve">A </t>
    </r>
    <r>
      <rPr>
        <sz val="10"/>
        <rFont val="Noto Sans CJK SC"/>
        <family val="2"/>
      </rPr>
      <t xml:space="preserve">或 </t>
    </r>
    <r>
      <rPr>
        <sz val="10"/>
        <rFont val="Microsoft JhengHei"/>
        <family val="0"/>
        <charset val="1"/>
      </rPr>
      <t xml:space="preserve">B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</si>
  <si>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言語知識這科的分數比較低，還沒過線，〇〇這塊明顯還不太熟，分數主要是被這裡拉下來的。建議先不要急著做題目，回到課本把 </t>
    </r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的〇〇確實學過一遍，會是比較實在的做法。</t>
    </r>
  </si>
  <si>
    <t xml:space="preserve">CC</t>
  </si>
  <si>
    <r>
      <rPr>
        <sz val="10"/>
        <rFont val="Microsoft JhengHei"/>
        <family val="0"/>
        <charset val="1"/>
      </rPr>
      <t xml:space="preserve">N1|B_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未達</t>
    </r>
    <r>
      <rPr>
        <sz val="10"/>
        <rFont val="Microsoft JhengHei"/>
        <family val="0"/>
        <charset val="1"/>
      </rPr>
      <t xml:space="preserve">|CC</t>
    </r>
  </si>
  <si>
    <r>
      <rPr>
        <sz val="10"/>
        <rFont val="Noto Sans CJK SC"/>
        <family val="2"/>
      </rPr>
      <t xml:space="preserve">言語知識 </t>
    </r>
    <r>
      <rPr>
        <sz val="10"/>
        <rFont val="Microsoft JhengHei"/>
        <family val="0"/>
        <charset val="1"/>
      </rPr>
      <t xml:space="preserve">0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18</t>
    </r>
    <r>
      <rPr>
        <sz val="10"/>
        <rFont val="Noto Sans CJK SC"/>
        <family val="2"/>
      </rPr>
      <t xml:space="preserve">／兩項都 </t>
    </r>
    <r>
      <rPr>
        <sz val="10"/>
        <rFont val="Microsoft JhengHei"/>
        <family val="0"/>
        <charset val="1"/>
      </rPr>
      <t xml:space="preserve">C</t>
    </r>
  </si>
  <si>
    <r>
      <rPr>
        <sz val="10"/>
        <rFont val="Noto Sans CJK SC"/>
        <family val="2"/>
      </rPr>
      <t xml:space="preserve">言語知識這科的分數比較低，還沒過線，單字和文法都還沒那麼熟，表示</t>
    </r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的內容對現在的你來說還太深，可能 </t>
    </r>
    <r>
      <rPr>
        <sz val="10"/>
        <rFont val="Microsoft JhengHei"/>
        <family val="0"/>
        <charset val="1"/>
      </rPr>
      <t xml:space="preserve">N2 </t>
    </r>
    <r>
      <rPr>
        <sz val="10"/>
        <rFont val="Noto Sans CJK SC"/>
        <family val="2"/>
      </rPr>
      <t xml:space="preserve">的部分也還沒完全穩。建議先回到課本從頭把內容確實學一遍，不用急著做題目，慢慢把底打穩。</t>
    </r>
  </si>
  <si>
    <t xml:space="preserve">偏低</t>
  </si>
  <si>
    <r>
      <rPr>
        <sz val="10"/>
        <rFont val="Microsoft JhengHei"/>
        <family val="0"/>
        <charset val="1"/>
      </rPr>
      <t xml:space="preserve">N1|B_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偏低</t>
    </r>
    <r>
      <rPr>
        <sz val="10"/>
        <rFont val="Microsoft JhengHei"/>
        <family val="0"/>
        <charset val="1"/>
      </rPr>
      <t xml:space="preserve">|AA</t>
    </r>
  </si>
  <si>
    <r>
      <rPr>
        <sz val="10"/>
        <rFont val="Noto Sans CJK SC"/>
        <family val="2"/>
      </rPr>
      <t xml:space="preserve">言語知識 </t>
    </r>
    <r>
      <rPr>
        <sz val="10"/>
        <rFont val="Microsoft JhengHei"/>
        <family val="0"/>
        <charset val="1"/>
      </rPr>
      <t xml:space="preserve">19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29</t>
    </r>
    <r>
      <rPr>
        <sz val="10"/>
        <rFont val="Noto Sans CJK SC"/>
        <family val="2"/>
      </rPr>
      <t xml:space="preserve">／單字 </t>
    </r>
    <r>
      <rPr>
        <sz val="10"/>
        <rFont val="Microsoft JhengHei"/>
        <family val="0"/>
        <charset val="1"/>
      </rPr>
      <t xml:space="preserve">A</t>
    </r>
    <r>
      <rPr>
        <sz val="10"/>
        <rFont val="Noto Sans CJK SC"/>
        <family val="2"/>
      </rPr>
      <t xml:space="preserve">／文法 </t>
    </r>
    <r>
      <rPr>
        <sz val="10"/>
        <rFont val="Microsoft JhengHei"/>
        <family val="0"/>
        <charset val="1"/>
      </rPr>
      <t xml:space="preserve">A</t>
    </r>
  </si>
  <si>
    <t xml:space="preserve">言語知識有過線了，但分數還偏低，單字和文法看起來都掌握得不錯，可能是這次剛好考到不熟的範圍，或者作答的時候時間沒抓好。多做幾回計時的練習，把速度和穩定度一起拉上來就好。</t>
  </si>
  <si>
    <r>
      <rPr>
        <sz val="10"/>
        <rFont val="Microsoft JhengHei"/>
        <family val="0"/>
        <charset val="1"/>
      </rPr>
      <t xml:space="preserve">N1|B_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偏低</t>
    </r>
    <r>
      <rPr>
        <sz val="10"/>
        <rFont val="Microsoft JhengHei"/>
        <family val="0"/>
        <charset val="1"/>
      </rPr>
      <t xml:space="preserve">|AB</t>
    </r>
  </si>
  <si>
    <r>
      <rPr>
        <sz val="10"/>
        <rFont val="Noto Sans CJK SC"/>
        <family val="2"/>
      </rPr>
      <t xml:space="preserve">言語知識 </t>
    </r>
    <r>
      <rPr>
        <sz val="10"/>
        <rFont val="Microsoft JhengHei"/>
        <family val="0"/>
        <charset val="1"/>
      </rPr>
      <t xml:space="preserve">19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29</t>
    </r>
    <r>
      <rPr>
        <sz val="10"/>
        <rFont val="Noto Sans CJK SC"/>
        <family val="2"/>
      </rPr>
      <t xml:space="preserve">／單字 </t>
    </r>
    <r>
      <rPr>
        <sz val="10"/>
        <rFont val="Microsoft JhengHei"/>
        <family val="0"/>
        <charset val="1"/>
      </rPr>
      <t xml:space="preserve">A</t>
    </r>
    <r>
      <rPr>
        <sz val="10"/>
        <rFont val="Noto Sans CJK SC"/>
        <family val="2"/>
      </rPr>
      <t xml:space="preserve">／文法 </t>
    </r>
    <r>
      <rPr>
        <sz val="10"/>
        <rFont val="Microsoft JhengHei"/>
        <family val="0"/>
        <charset val="1"/>
      </rPr>
      <t xml:space="preserve">B</t>
    </r>
  </si>
  <si>
    <t xml:space="preserve">言語知識有過線了，但分數還偏低，單字的部分掌握得不錯，文法還有些地方不太穩，像是意思相近的句型就容易選錯。建議把常錯的句型兩兩對照整理，弄清楚差在哪裡，會比單純背文法表來得有感。</t>
  </si>
  <si>
    <r>
      <rPr>
        <sz val="10"/>
        <rFont val="Microsoft JhengHei"/>
        <family val="0"/>
        <charset val="1"/>
      </rPr>
      <t xml:space="preserve">N1|B_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偏低</t>
    </r>
    <r>
      <rPr>
        <sz val="10"/>
        <rFont val="Microsoft JhengHei"/>
        <family val="0"/>
        <charset val="1"/>
      </rPr>
      <t xml:space="preserve">|BA</t>
    </r>
  </si>
  <si>
    <r>
      <rPr>
        <sz val="10"/>
        <rFont val="Noto Sans CJK SC"/>
        <family val="2"/>
      </rPr>
      <t xml:space="preserve">言語知識 </t>
    </r>
    <r>
      <rPr>
        <sz val="10"/>
        <rFont val="Microsoft JhengHei"/>
        <family val="0"/>
        <charset val="1"/>
      </rPr>
      <t xml:space="preserve">19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29</t>
    </r>
    <r>
      <rPr>
        <sz val="10"/>
        <rFont val="Noto Sans CJK SC"/>
        <family val="2"/>
      </rPr>
      <t xml:space="preserve">／單字 </t>
    </r>
    <r>
      <rPr>
        <sz val="10"/>
        <rFont val="Microsoft JhengHei"/>
        <family val="0"/>
        <charset val="1"/>
      </rPr>
      <t xml:space="preserve">B</t>
    </r>
    <r>
      <rPr>
        <sz val="10"/>
        <rFont val="Noto Sans CJK SC"/>
        <family val="2"/>
      </rPr>
      <t xml:space="preserve">／文法 </t>
    </r>
    <r>
      <rPr>
        <sz val="10"/>
        <rFont val="Microsoft JhengHei"/>
        <family val="0"/>
        <charset val="1"/>
      </rPr>
      <t xml:space="preserve">A</t>
    </r>
  </si>
  <si>
    <t xml:space="preserve">言語知識有過線了，但分數還偏低，文法掌握得不錯，單字還有些地方不太穩，句型看得懂但字認不出來。建議可以每天固定背一小批，從新聞和社論裡挑常出現的字先記，不要只記中文意思，會比較記得住。</t>
  </si>
  <si>
    <r>
      <rPr>
        <sz val="10"/>
        <rFont val="Microsoft JhengHei"/>
        <family val="0"/>
        <charset val="1"/>
      </rPr>
      <t xml:space="preserve">N1|B_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偏低</t>
    </r>
    <r>
      <rPr>
        <sz val="10"/>
        <rFont val="Microsoft JhengHei"/>
        <family val="0"/>
        <charset val="1"/>
      </rPr>
      <t xml:space="preserve">|BB</t>
    </r>
  </si>
  <si>
    <r>
      <rPr>
        <sz val="10"/>
        <rFont val="Noto Sans CJK SC"/>
        <family val="2"/>
      </rPr>
      <t xml:space="preserve">言語知識 </t>
    </r>
    <r>
      <rPr>
        <sz val="10"/>
        <rFont val="Microsoft JhengHei"/>
        <family val="0"/>
        <charset val="1"/>
      </rPr>
      <t xml:space="preserve">19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29</t>
    </r>
    <r>
      <rPr>
        <sz val="10"/>
        <rFont val="Noto Sans CJK SC"/>
        <family val="2"/>
      </rPr>
      <t xml:space="preserve">／單字 </t>
    </r>
    <r>
      <rPr>
        <sz val="10"/>
        <rFont val="Microsoft JhengHei"/>
        <family val="0"/>
        <charset val="1"/>
      </rPr>
      <t xml:space="preserve">B</t>
    </r>
    <r>
      <rPr>
        <sz val="10"/>
        <rFont val="Noto Sans CJK SC"/>
        <family val="2"/>
      </rPr>
      <t xml:space="preserve">／文法 </t>
    </r>
    <r>
      <rPr>
        <sz val="10"/>
        <rFont val="Microsoft JhengHei"/>
        <family val="0"/>
        <charset val="1"/>
      </rPr>
      <t xml:space="preserve">B</t>
    </r>
  </si>
  <si>
    <r>
      <rPr>
        <sz val="10"/>
        <rFont val="Noto Sans CJK SC"/>
        <family val="2"/>
      </rPr>
      <t xml:space="preserve">言語知識有過線了，但分數還偏低，代表你有一些基礎了，文法和單字都有一定掌握，但都還不夠熟，可能是練習量還不太夠。建議先把 </t>
    </r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的教材完整複習一輪，再開始做題，幫助細節穩下來。</t>
    </r>
  </si>
  <si>
    <r>
      <rPr>
        <sz val="10"/>
        <rFont val="Microsoft JhengHei"/>
        <family val="0"/>
        <charset val="1"/>
      </rPr>
      <t xml:space="preserve">N1|B_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偏低</t>
    </r>
    <r>
      <rPr>
        <sz val="10"/>
        <rFont val="Microsoft JhengHei"/>
        <family val="0"/>
        <charset val="1"/>
      </rPr>
      <t xml:space="preserve">|C1</t>
    </r>
  </si>
  <si>
    <r>
      <rPr>
        <sz val="10"/>
        <rFont val="Noto Sans CJK SC"/>
        <family val="2"/>
      </rPr>
      <t xml:space="preserve">言語知識 </t>
    </r>
    <r>
      <rPr>
        <sz val="10"/>
        <rFont val="Microsoft JhengHei"/>
        <family val="0"/>
        <charset val="1"/>
      </rPr>
      <t xml:space="preserve">19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29</t>
    </r>
    <r>
      <rPr>
        <sz val="10"/>
        <rFont val="Noto Sans CJK SC"/>
        <family val="2"/>
      </rPr>
      <t xml:space="preserve">／單項 </t>
    </r>
    <r>
      <rPr>
        <sz val="10"/>
        <rFont val="Microsoft JhengHei"/>
        <family val="0"/>
        <charset val="1"/>
      </rPr>
      <t xml:space="preserve">C</t>
    </r>
    <r>
      <rPr>
        <sz val="10"/>
        <rFont val="Noto Sans CJK SC"/>
        <family val="2"/>
      </rPr>
      <t xml:space="preserve">（另一項 </t>
    </r>
    <r>
      <rPr>
        <sz val="10"/>
        <rFont val="Microsoft JhengHei"/>
        <family val="0"/>
        <charset val="1"/>
      </rPr>
      <t xml:space="preserve">A </t>
    </r>
    <r>
      <rPr>
        <sz val="10"/>
        <rFont val="Noto Sans CJK SC"/>
        <family val="2"/>
      </rPr>
      <t xml:space="preserve">或 </t>
    </r>
    <r>
      <rPr>
        <sz val="10"/>
        <rFont val="Microsoft JhengHei"/>
        <family val="0"/>
        <charset val="1"/>
      </rPr>
      <t xml:space="preserve">B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</si>
  <si>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言語知識有過線了，但〇〇這塊明顯還不太熟，分數主要是被這裡拉下來的。建議先集中把 </t>
    </r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的〇〇補起來，這科的分數會有感地往上。</t>
    </r>
  </si>
  <si>
    <r>
      <rPr>
        <sz val="10"/>
        <rFont val="Microsoft JhengHei"/>
        <family val="0"/>
        <charset val="1"/>
      </rPr>
      <t xml:space="preserve">N1|B_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偏低</t>
    </r>
    <r>
      <rPr>
        <sz val="10"/>
        <rFont val="Microsoft JhengHei"/>
        <family val="0"/>
        <charset val="1"/>
      </rPr>
      <t xml:space="preserve">|CC</t>
    </r>
  </si>
  <si>
    <r>
      <rPr>
        <sz val="10"/>
        <rFont val="Noto Sans CJK SC"/>
        <family val="2"/>
      </rPr>
      <t xml:space="preserve">言語知識 </t>
    </r>
    <r>
      <rPr>
        <sz val="10"/>
        <rFont val="Microsoft JhengHei"/>
        <family val="0"/>
        <charset val="1"/>
      </rPr>
      <t xml:space="preserve">19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29</t>
    </r>
    <r>
      <rPr>
        <sz val="10"/>
        <rFont val="Noto Sans CJK SC"/>
        <family val="2"/>
      </rPr>
      <t xml:space="preserve">／兩項都 </t>
    </r>
    <r>
      <rPr>
        <sz val="10"/>
        <rFont val="Microsoft JhengHei"/>
        <family val="0"/>
        <charset val="1"/>
      </rPr>
      <t xml:space="preserve">C</t>
    </r>
  </si>
  <si>
    <r>
      <rPr>
        <sz val="10"/>
        <rFont val="Noto Sans CJK SC"/>
        <family val="2"/>
      </rPr>
      <t xml:space="preserve">言語知識有過線了，但分數還偏低，單字和文法都還不太熟，這種情況比較少見，可能是考試當天狀況特別不好。建議先回到課本把 </t>
    </r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的單字和文法確實補一輪，再做幾回模擬題確認狀況。</t>
    </r>
  </si>
  <si>
    <t xml:space="preserve">中</t>
  </si>
  <si>
    <r>
      <rPr>
        <sz val="10"/>
        <rFont val="Microsoft JhengHei"/>
        <family val="0"/>
        <charset val="1"/>
      </rPr>
      <t xml:space="preserve">N1|B_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中</t>
    </r>
    <r>
      <rPr>
        <sz val="10"/>
        <rFont val="Microsoft JhengHei"/>
        <family val="0"/>
        <charset val="1"/>
      </rPr>
      <t xml:space="preserve">|AA</t>
    </r>
  </si>
  <si>
    <r>
      <rPr>
        <sz val="10"/>
        <rFont val="Noto Sans CJK SC"/>
        <family val="2"/>
      </rPr>
      <t xml:space="preserve">言語知識 </t>
    </r>
    <r>
      <rPr>
        <sz val="10"/>
        <rFont val="Microsoft JhengHei"/>
        <family val="0"/>
        <charset val="1"/>
      </rPr>
      <t xml:space="preserve">30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44</t>
    </r>
    <r>
      <rPr>
        <sz val="10"/>
        <rFont val="Noto Sans CJK SC"/>
        <family val="2"/>
      </rPr>
      <t xml:space="preserve">／單字 </t>
    </r>
    <r>
      <rPr>
        <sz val="10"/>
        <rFont val="Microsoft JhengHei"/>
        <family val="0"/>
        <charset val="1"/>
      </rPr>
      <t xml:space="preserve">A</t>
    </r>
    <r>
      <rPr>
        <sz val="10"/>
        <rFont val="Noto Sans CJK SC"/>
        <family val="2"/>
      </rPr>
      <t xml:space="preserve">／文法 </t>
    </r>
    <r>
      <rPr>
        <sz val="10"/>
        <rFont val="Microsoft JhengHei"/>
        <family val="0"/>
        <charset val="1"/>
      </rPr>
      <t xml:space="preserve">A</t>
    </r>
  </si>
  <si>
    <t xml:space="preserve">言語知識這次表現蠻穩定的，單字和文法都掌握得不錯，基礎應該已經打得很穩。接下來可以多接觸真實的日文素材，像是新聞、書籍或專業領域的文章，讓語彙和句型在實際使用裡更熟。</t>
  </si>
  <si>
    <r>
      <rPr>
        <sz val="10"/>
        <rFont val="Microsoft JhengHei"/>
        <family val="0"/>
        <charset val="1"/>
      </rPr>
      <t xml:space="preserve">N1|B_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中</t>
    </r>
    <r>
      <rPr>
        <sz val="10"/>
        <rFont val="Microsoft JhengHei"/>
        <family val="0"/>
        <charset val="1"/>
      </rPr>
      <t xml:space="preserve">|AB</t>
    </r>
  </si>
  <si>
    <r>
      <rPr>
        <sz val="10"/>
        <rFont val="Noto Sans CJK SC"/>
        <family val="2"/>
      </rPr>
      <t xml:space="preserve">言語知識 </t>
    </r>
    <r>
      <rPr>
        <sz val="10"/>
        <rFont val="Microsoft JhengHei"/>
        <family val="0"/>
        <charset val="1"/>
      </rPr>
      <t xml:space="preserve">30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44</t>
    </r>
    <r>
      <rPr>
        <sz val="10"/>
        <rFont val="Noto Sans CJK SC"/>
        <family val="2"/>
      </rPr>
      <t xml:space="preserve">／單字 </t>
    </r>
    <r>
      <rPr>
        <sz val="10"/>
        <rFont val="Microsoft JhengHei"/>
        <family val="0"/>
        <charset val="1"/>
      </rPr>
      <t xml:space="preserve">A</t>
    </r>
    <r>
      <rPr>
        <sz val="10"/>
        <rFont val="Noto Sans CJK SC"/>
        <family val="2"/>
      </rPr>
      <t xml:space="preserve">／文法 </t>
    </r>
    <r>
      <rPr>
        <sz val="10"/>
        <rFont val="Microsoft JhengHei"/>
        <family val="0"/>
        <charset val="1"/>
      </rPr>
      <t xml:space="preserve">B</t>
    </r>
  </si>
  <si>
    <t xml:space="preserve">言語知識這次表現蠻穩定的，單字沒什麼問題，文法還可以再練練。可以把常錯的句型整理起來再練一輪，同時多讀書面的日文，讓高階句型在實際文章裡看熟。</t>
  </si>
  <si>
    <r>
      <rPr>
        <sz val="10"/>
        <rFont val="Microsoft JhengHei"/>
        <family val="0"/>
        <charset val="1"/>
      </rPr>
      <t xml:space="preserve">N1|B_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中</t>
    </r>
    <r>
      <rPr>
        <sz val="10"/>
        <rFont val="Microsoft JhengHei"/>
        <family val="0"/>
        <charset val="1"/>
      </rPr>
      <t xml:space="preserve">|BA</t>
    </r>
  </si>
  <si>
    <r>
      <rPr>
        <sz val="10"/>
        <rFont val="Noto Sans CJK SC"/>
        <family val="2"/>
      </rPr>
      <t xml:space="preserve">言語知識 </t>
    </r>
    <r>
      <rPr>
        <sz val="10"/>
        <rFont val="Microsoft JhengHei"/>
        <family val="0"/>
        <charset val="1"/>
      </rPr>
      <t xml:space="preserve">30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44</t>
    </r>
    <r>
      <rPr>
        <sz val="10"/>
        <rFont val="Noto Sans CJK SC"/>
        <family val="2"/>
      </rPr>
      <t xml:space="preserve">／單字 </t>
    </r>
    <r>
      <rPr>
        <sz val="10"/>
        <rFont val="Microsoft JhengHei"/>
        <family val="0"/>
        <charset val="1"/>
      </rPr>
      <t xml:space="preserve">B</t>
    </r>
    <r>
      <rPr>
        <sz val="10"/>
        <rFont val="Noto Sans CJK SC"/>
        <family val="2"/>
      </rPr>
      <t xml:space="preserve">／文法 </t>
    </r>
    <r>
      <rPr>
        <sz val="10"/>
        <rFont val="Microsoft JhengHei"/>
        <family val="0"/>
        <charset val="1"/>
      </rPr>
      <t xml:space="preserve">A</t>
    </r>
  </si>
  <si>
    <t xml:space="preserve">言語知識這次表現蠻穩定的，文法沒什麼問題，單字還可以再多累積一些。可以趁這段時間多讀新聞和社論，把常出現的抽象詞彙和書面語慢慢累積起來。</t>
  </si>
  <si>
    <r>
      <rPr>
        <sz val="10"/>
        <rFont val="Microsoft JhengHei"/>
        <family val="0"/>
        <charset val="1"/>
      </rPr>
      <t xml:space="preserve">N1|B_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中</t>
    </r>
    <r>
      <rPr>
        <sz val="10"/>
        <rFont val="Microsoft JhengHei"/>
        <family val="0"/>
        <charset val="1"/>
      </rPr>
      <t xml:space="preserve">|BB</t>
    </r>
  </si>
  <si>
    <r>
      <rPr>
        <sz val="10"/>
        <rFont val="Noto Sans CJK SC"/>
        <family val="2"/>
      </rPr>
      <t xml:space="preserve">言語知識 </t>
    </r>
    <r>
      <rPr>
        <sz val="10"/>
        <rFont val="Microsoft JhengHei"/>
        <family val="0"/>
        <charset val="1"/>
      </rPr>
      <t xml:space="preserve">30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44</t>
    </r>
    <r>
      <rPr>
        <sz val="10"/>
        <rFont val="Noto Sans CJK SC"/>
        <family val="2"/>
      </rPr>
      <t xml:space="preserve">／單字 </t>
    </r>
    <r>
      <rPr>
        <sz val="10"/>
        <rFont val="Microsoft JhengHei"/>
        <family val="0"/>
        <charset val="1"/>
      </rPr>
      <t xml:space="preserve">B</t>
    </r>
    <r>
      <rPr>
        <sz val="10"/>
        <rFont val="Noto Sans CJK SC"/>
        <family val="2"/>
      </rPr>
      <t xml:space="preserve">／文法 </t>
    </r>
    <r>
      <rPr>
        <sz val="10"/>
        <rFont val="Microsoft JhengHei"/>
        <family val="0"/>
        <charset val="1"/>
      </rPr>
      <t xml:space="preserve">B</t>
    </r>
  </si>
  <si>
    <r>
      <rPr>
        <sz val="10"/>
        <rFont val="Noto Sans CJK SC"/>
        <family val="2"/>
      </rPr>
      <t xml:space="preserve">言語知識這次表現蠻穩定的，不過單字和文法都還可以再練深一點，分數應該是靠整體語感撐起來的。建議把 </t>
    </r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的基礎再過一輪，細節扎實了會更穩。</t>
    </r>
  </si>
  <si>
    <r>
      <rPr>
        <sz val="10"/>
        <rFont val="Microsoft JhengHei"/>
        <family val="0"/>
        <charset val="1"/>
      </rPr>
      <t xml:space="preserve">N1|B_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中</t>
    </r>
    <r>
      <rPr>
        <sz val="10"/>
        <rFont val="Microsoft JhengHei"/>
        <family val="0"/>
        <charset val="1"/>
      </rPr>
      <t xml:space="preserve">|C1</t>
    </r>
  </si>
  <si>
    <r>
      <rPr>
        <sz val="10"/>
        <rFont val="Noto Sans CJK SC"/>
        <family val="2"/>
      </rPr>
      <t xml:space="preserve">言語知識 </t>
    </r>
    <r>
      <rPr>
        <sz val="10"/>
        <rFont val="Microsoft JhengHei"/>
        <family val="0"/>
        <charset val="1"/>
      </rPr>
      <t xml:space="preserve">30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44</t>
    </r>
    <r>
      <rPr>
        <sz val="10"/>
        <rFont val="Noto Sans CJK SC"/>
        <family val="2"/>
      </rPr>
      <t xml:space="preserve">／單項 </t>
    </r>
    <r>
      <rPr>
        <sz val="10"/>
        <rFont val="Microsoft JhengHei"/>
        <family val="0"/>
        <charset val="1"/>
      </rPr>
      <t xml:space="preserve">C</t>
    </r>
    <r>
      <rPr>
        <sz val="10"/>
        <rFont val="Noto Sans CJK SC"/>
        <family val="2"/>
      </rPr>
      <t xml:space="preserve">（另一項 </t>
    </r>
    <r>
      <rPr>
        <sz val="10"/>
        <rFont val="Microsoft JhengHei"/>
        <family val="0"/>
        <charset val="1"/>
      </rPr>
      <t xml:space="preserve">A </t>
    </r>
    <r>
      <rPr>
        <sz val="10"/>
        <rFont val="Noto Sans CJK SC"/>
        <family val="2"/>
      </rPr>
      <t xml:space="preserve">或 </t>
    </r>
    <r>
      <rPr>
        <sz val="10"/>
        <rFont val="Microsoft JhengHei"/>
        <family val="0"/>
        <charset val="1"/>
      </rPr>
      <t xml:space="preserve">B</t>
    </r>
    <r>
      <rPr>
        <sz val="10"/>
        <rFont val="Noto Sans CJK SC"/>
        <family val="2"/>
      </rPr>
      <t xml:space="preserve">）</t>
    </r>
  </si>
  <si>
    <t xml:space="preserve">言語知識整體表現不錯，不過〇〇這塊有點意外地弱，可能是這次剛好考到不熟的範圍。順手把〇〇補一補就好，不用太擔心。</t>
  </si>
  <si>
    <r>
      <rPr>
        <sz val="10"/>
        <rFont val="Microsoft JhengHei"/>
        <family val="0"/>
        <charset val="1"/>
      </rPr>
      <t xml:space="preserve">N1|B_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中</t>
    </r>
    <r>
      <rPr>
        <sz val="10"/>
        <rFont val="Microsoft JhengHei"/>
        <family val="0"/>
        <charset val="1"/>
      </rPr>
      <t xml:space="preserve">|CC</t>
    </r>
  </si>
  <si>
    <r>
      <rPr>
        <sz val="10"/>
        <rFont val="Noto Sans CJK SC"/>
        <family val="2"/>
      </rPr>
      <t xml:space="preserve">言語知識 </t>
    </r>
    <r>
      <rPr>
        <sz val="10"/>
        <rFont val="Microsoft JhengHei"/>
        <family val="0"/>
        <charset val="1"/>
      </rPr>
      <t xml:space="preserve">30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44</t>
    </r>
    <r>
      <rPr>
        <sz val="10"/>
        <rFont val="Noto Sans CJK SC"/>
        <family val="2"/>
      </rPr>
      <t xml:space="preserve">／兩項都 </t>
    </r>
    <r>
      <rPr>
        <sz val="10"/>
        <rFont val="Microsoft JhengHei"/>
        <family val="0"/>
        <charset val="1"/>
      </rPr>
      <t xml:space="preserve">C</t>
    </r>
  </si>
  <si>
    <t xml:space="preserve">言語知識整體分數不錯，不過單字和文法都還不太熟，這種情況比較少見。把單字和文法再補一輪，這科會更穩。</t>
  </si>
  <si>
    <t xml:space="preserve">高</t>
  </si>
  <si>
    <r>
      <rPr>
        <sz val="10"/>
        <rFont val="Microsoft JhengHei"/>
        <family val="0"/>
        <charset val="1"/>
      </rPr>
      <t xml:space="preserve">N1|B_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高</t>
    </r>
    <r>
      <rPr>
        <sz val="10"/>
        <rFont val="Microsoft JhengHei"/>
        <family val="0"/>
        <charset val="1"/>
      </rPr>
      <t xml:space="preserve">|AA</t>
    </r>
  </si>
  <si>
    <r>
      <rPr>
        <sz val="10"/>
        <rFont val="Noto Sans CJK SC"/>
        <family val="2"/>
      </rPr>
      <t xml:space="preserve">言語知識 </t>
    </r>
    <r>
      <rPr>
        <sz val="10"/>
        <rFont val="Microsoft JhengHei"/>
        <family val="0"/>
        <charset val="1"/>
      </rPr>
      <t xml:space="preserve">45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60</t>
    </r>
    <r>
      <rPr>
        <sz val="10"/>
        <rFont val="Noto Sans CJK SC"/>
        <family val="2"/>
      </rPr>
      <t xml:space="preserve">／單字 </t>
    </r>
    <r>
      <rPr>
        <sz val="10"/>
        <rFont val="Microsoft JhengHei"/>
        <family val="0"/>
        <charset val="1"/>
      </rPr>
      <t xml:space="preserve">A</t>
    </r>
    <r>
      <rPr>
        <sz val="10"/>
        <rFont val="Noto Sans CJK SC"/>
        <family val="2"/>
      </rPr>
      <t xml:space="preserve">／文法 </t>
    </r>
    <r>
      <rPr>
        <sz val="10"/>
        <rFont val="Microsoft JhengHei"/>
        <family val="0"/>
        <charset val="1"/>
      </rPr>
      <t xml:space="preserve">A</t>
    </r>
  </si>
  <si>
    <t xml:space="preserve">言語知識這次表現很好，單字和文法都已經是你的強項了。這科不太需要再針對考試練習，接下來就是在真實的日文裡持續使用，讓它一直保持在這個狀態。</t>
  </si>
  <si>
    <r>
      <rPr>
        <sz val="10"/>
        <rFont val="Microsoft JhengHei"/>
        <family val="0"/>
        <charset val="1"/>
      </rPr>
      <t xml:space="preserve">N1|B_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高</t>
    </r>
    <r>
      <rPr>
        <sz val="10"/>
        <rFont val="Microsoft JhengHei"/>
        <family val="0"/>
        <charset val="1"/>
      </rPr>
      <t xml:space="preserve">|AB</t>
    </r>
  </si>
  <si>
    <r>
      <rPr>
        <sz val="10"/>
        <rFont val="Noto Sans CJK SC"/>
        <family val="2"/>
      </rPr>
      <t xml:space="preserve">言語知識 </t>
    </r>
    <r>
      <rPr>
        <sz val="10"/>
        <rFont val="Microsoft JhengHei"/>
        <family val="0"/>
        <charset val="1"/>
      </rPr>
      <t xml:space="preserve">45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60</t>
    </r>
    <r>
      <rPr>
        <sz val="10"/>
        <rFont val="Noto Sans CJK SC"/>
        <family val="2"/>
      </rPr>
      <t xml:space="preserve">／單字 </t>
    </r>
    <r>
      <rPr>
        <sz val="10"/>
        <rFont val="Microsoft JhengHei"/>
        <family val="0"/>
        <charset val="1"/>
      </rPr>
      <t xml:space="preserve">A</t>
    </r>
    <r>
      <rPr>
        <sz val="10"/>
        <rFont val="Noto Sans CJK SC"/>
        <family val="2"/>
      </rPr>
      <t xml:space="preserve">／文法 </t>
    </r>
    <r>
      <rPr>
        <sz val="10"/>
        <rFont val="Microsoft JhengHei"/>
        <family val="0"/>
        <charset val="1"/>
      </rPr>
      <t xml:space="preserve">B</t>
    </r>
  </si>
  <si>
    <r>
      <rPr>
        <sz val="10"/>
        <rFont val="Noto Sans CJK SC"/>
        <family val="2"/>
      </rPr>
      <t xml:space="preserve">言語知識這次表現很好，文法雖然還可以再更熟一點，但整體已經很穩了。想再拉高分數的話，可以把 </t>
    </r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的文語表現再整理一輪；不然這科已經夠用了。</t>
    </r>
  </si>
  <si>
    <r>
      <rPr>
        <sz val="10"/>
        <rFont val="Microsoft JhengHei"/>
        <family val="0"/>
        <charset val="1"/>
      </rPr>
      <t xml:space="preserve">N1|B_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高</t>
    </r>
    <r>
      <rPr>
        <sz val="10"/>
        <rFont val="Microsoft JhengHei"/>
        <family val="0"/>
        <charset val="1"/>
      </rPr>
      <t xml:space="preserve">|BA</t>
    </r>
  </si>
  <si>
    <r>
      <rPr>
        <sz val="10"/>
        <rFont val="Noto Sans CJK SC"/>
        <family val="2"/>
      </rPr>
      <t xml:space="preserve">言語知識 </t>
    </r>
    <r>
      <rPr>
        <sz val="10"/>
        <rFont val="Microsoft JhengHei"/>
        <family val="0"/>
        <charset val="1"/>
      </rPr>
      <t xml:space="preserve">45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60</t>
    </r>
    <r>
      <rPr>
        <sz val="10"/>
        <rFont val="Noto Sans CJK SC"/>
        <family val="2"/>
      </rPr>
      <t xml:space="preserve">／單字 </t>
    </r>
    <r>
      <rPr>
        <sz val="10"/>
        <rFont val="Microsoft JhengHei"/>
        <family val="0"/>
        <charset val="1"/>
      </rPr>
      <t xml:space="preserve">B</t>
    </r>
    <r>
      <rPr>
        <sz val="10"/>
        <rFont val="Noto Sans CJK SC"/>
        <family val="2"/>
      </rPr>
      <t xml:space="preserve">／文法 </t>
    </r>
    <r>
      <rPr>
        <sz val="10"/>
        <rFont val="Microsoft JhengHei"/>
        <family val="0"/>
        <charset val="1"/>
      </rPr>
      <t xml:space="preserve">A</t>
    </r>
  </si>
  <si>
    <t xml:space="preserve">言語知識這次表現很好，單字雖然還可以再多累積，但整體已經很穩了。想再拉高分數的話，可以多累積書面語和抽象詞彙；不然這科已經夠用了。</t>
  </si>
  <si>
    <t xml:space="preserve">其他</t>
  </si>
  <si>
    <r>
      <rPr>
        <sz val="10"/>
        <rFont val="Microsoft JhengHei"/>
        <family val="0"/>
        <charset val="1"/>
      </rPr>
      <t xml:space="preserve">N1|B_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其他</t>
    </r>
  </si>
  <si>
    <r>
      <rPr>
        <sz val="10"/>
        <rFont val="Noto Sans CJK SC"/>
        <family val="2"/>
      </rPr>
      <t xml:space="preserve">言語知識 </t>
    </r>
    <r>
      <rPr>
        <sz val="10"/>
        <rFont val="Microsoft JhengHei"/>
        <family val="0"/>
        <charset val="1"/>
      </rPr>
      <t xml:space="preserve">45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60</t>
    </r>
    <r>
      <rPr>
        <sz val="10"/>
        <rFont val="Noto Sans CJK SC"/>
        <family val="2"/>
      </rPr>
      <t xml:space="preserve">／高段其他組合（備用）</t>
    </r>
  </si>
  <si>
    <t xml:space="preserve">言語知識分數很好，不過單字或文法有一項看起來還不太穩，可能是這次剛好考到不熟的範圍，順手補一下就好。</t>
  </si>
  <si>
    <r>
      <rPr>
        <sz val="10"/>
        <rFont val="Microsoft JhengHei"/>
        <family val="0"/>
        <charset val="1"/>
      </rPr>
      <t xml:space="preserve">R_</t>
    </r>
    <r>
      <rPr>
        <sz val="10"/>
        <rFont val="Noto Sans CJK SC"/>
        <family val="2"/>
      </rPr>
      <t xml:space="preserve">讀解</t>
    </r>
  </si>
  <si>
    <r>
      <rPr>
        <sz val="10"/>
        <rFont val="Microsoft JhengHei"/>
        <family val="0"/>
        <charset val="1"/>
      </rPr>
      <t xml:space="preserve">N1|R_</t>
    </r>
    <r>
      <rPr>
        <sz val="10"/>
        <rFont val="Noto Sans CJK SC"/>
        <family val="2"/>
      </rPr>
      <t xml:space="preserve">讀解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未達</t>
    </r>
    <r>
      <rPr>
        <sz val="10"/>
        <rFont val="Microsoft JhengHei"/>
        <family val="0"/>
        <charset val="1"/>
      </rPr>
      <t xml:space="preserve">|-</t>
    </r>
  </si>
  <si>
    <r>
      <rPr>
        <sz val="10"/>
        <rFont val="Noto Sans CJK SC"/>
        <family val="2"/>
      </rPr>
      <t xml:space="preserve">讀解 </t>
    </r>
    <r>
      <rPr>
        <sz val="10"/>
        <rFont val="Microsoft JhengHei"/>
        <family val="0"/>
        <charset val="1"/>
      </rPr>
      <t xml:space="preserve">0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18</t>
    </r>
  </si>
  <si>
    <r>
      <rPr>
        <sz val="10"/>
        <rFont val="Noto Sans CJK SC"/>
        <family val="2"/>
      </rPr>
      <t xml:space="preserve">讀解這科的分數比較低，還沒過線，可能是 </t>
    </r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的文章話題抽象、句子也長，字都看得懂但整段的意思抓不到，或者時間根本不夠。建議可以固定讀日文的社論或評論，每篇讀完用一兩句話整理作者的主張，練久了對這種文章的感覺會慢慢出來。</t>
    </r>
  </si>
  <si>
    <r>
      <rPr>
        <sz val="10"/>
        <rFont val="Microsoft JhengHei"/>
        <family val="0"/>
        <charset val="1"/>
      </rPr>
      <t xml:space="preserve">N1|R_</t>
    </r>
    <r>
      <rPr>
        <sz val="10"/>
        <rFont val="Noto Sans CJK SC"/>
        <family val="2"/>
      </rPr>
      <t xml:space="preserve">讀解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偏低</t>
    </r>
    <r>
      <rPr>
        <sz val="10"/>
        <rFont val="Microsoft JhengHei"/>
        <family val="0"/>
        <charset val="1"/>
      </rPr>
      <t xml:space="preserve">|-</t>
    </r>
  </si>
  <si>
    <r>
      <rPr>
        <sz val="10"/>
        <rFont val="Noto Sans CJK SC"/>
        <family val="2"/>
      </rPr>
      <t xml:space="preserve">讀解 </t>
    </r>
    <r>
      <rPr>
        <sz val="10"/>
        <rFont val="Microsoft JhengHei"/>
        <family val="0"/>
        <charset val="1"/>
      </rPr>
      <t xml:space="preserve">19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29</t>
    </r>
  </si>
  <si>
    <t xml:space="preserve">讀解有過線了，但分數還偏低，可能是抽象文章的邏輯跟不上，或者時間分配還不太順。建議練習的時候計時，先掃過題目再讀，遇到卡住的段落先跳過，把能拿的分先拿到。</t>
  </si>
  <si>
    <r>
      <rPr>
        <sz val="10"/>
        <rFont val="Microsoft JhengHei"/>
        <family val="0"/>
        <charset val="1"/>
      </rPr>
      <t xml:space="preserve">N1|R_</t>
    </r>
    <r>
      <rPr>
        <sz val="10"/>
        <rFont val="Noto Sans CJK SC"/>
        <family val="2"/>
      </rPr>
      <t xml:space="preserve">讀解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中</t>
    </r>
    <r>
      <rPr>
        <sz val="10"/>
        <rFont val="Microsoft JhengHei"/>
        <family val="0"/>
        <charset val="1"/>
      </rPr>
      <t xml:space="preserve">|-</t>
    </r>
  </si>
  <si>
    <r>
      <rPr>
        <sz val="10"/>
        <rFont val="Noto Sans CJK SC"/>
        <family val="2"/>
      </rPr>
      <t xml:space="preserve">讀解 </t>
    </r>
    <r>
      <rPr>
        <sz val="10"/>
        <rFont val="Microsoft JhengHei"/>
        <family val="0"/>
        <charset val="1"/>
      </rPr>
      <t xml:space="preserve">30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44</t>
    </r>
  </si>
  <si>
    <r>
      <rPr>
        <sz val="10"/>
        <rFont val="Noto Sans CJK SC"/>
        <family val="2"/>
      </rPr>
      <t xml:space="preserve">讀解這次表現蠻穩定的，</t>
    </r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的文章大部分都能讀懂了。接下來可以把閱讀變成日常，像是固定讀日文的書或專欄，這科會越來越穩的。</t>
    </r>
  </si>
  <si>
    <r>
      <rPr>
        <sz val="10"/>
        <rFont val="Microsoft JhengHei"/>
        <family val="0"/>
        <charset val="1"/>
      </rPr>
      <t xml:space="preserve">N1|R_</t>
    </r>
    <r>
      <rPr>
        <sz val="10"/>
        <rFont val="Noto Sans CJK SC"/>
        <family val="2"/>
      </rPr>
      <t xml:space="preserve">讀解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高</t>
    </r>
    <r>
      <rPr>
        <sz val="10"/>
        <rFont val="Microsoft JhengHei"/>
        <family val="0"/>
        <charset val="1"/>
      </rPr>
      <t xml:space="preserve">|-</t>
    </r>
  </si>
  <si>
    <r>
      <rPr>
        <sz val="10"/>
        <rFont val="Noto Sans CJK SC"/>
        <family val="2"/>
      </rPr>
      <t xml:space="preserve">讀解 </t>
    </r>
    <r>
      <rPr>
        <sz val="10"/>
        <rFont val="Microsoft JhengHei"/>
        <family val="0"/>
        <charset val="1"/>
      </rPr>
      <t xml:space="preserve">45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60</t>
    </r>
  </si>
  <si>
    <r>
      <rPr>
        <sz val="10"/>
        <rFont val="Noto Sans CJK SC"/>
        <family val="2"/>
      </rPr>
      <t xml:space="preserve">讀解這次表現很好，</t>
    </r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的文章已經難不倒你了。接下來可以讀自己專業領域的日文資料，或直接讀原文書，實力已經足夠了。</t>
    </r>
  </si>
  <si>
    <r>
      <rPr>
        <sz val="10"/>
        <rFont val="Microsoft JhengHei"/>
        <family val="0"/>
        <charset val="1"/>
      </rPr>
      <t xml:space="preserve">C_</t>
    </r>
    <r>
      <rPr>
        <sz val="10"/>
        <rFont val="Noto Sans CJK SC"/>
        <family val="2"/>
      </rPr>
      <t xml:space="preserve">聽解</t>
    </r>
  </si>
  <si>
    <r>
      <rPr>
        <sz val="10"/>
        <rFont val="Microsoft JhengHei"/>
        <family val="0"/>
        <charset val="1"/>
      </rPr>
      <t xml:space="preserve">N1|C_</t>
    </r>
    <r>
      <rPr>
        <sz val="10"/>
        <rFont val="Noto Sans CJK SC"/>
        <family val="2"/>
      </rPr>
      <t xml:space="preserve">聽解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未達</t>
    </r>
    <r>
      <rPr>
        <sz val="10"/>
        <rFont val="Microsoft JhengHei"/>
        <family val="0"/>
        <charset val="1"/>
      </rPr>
      <t xml:space="preserve">|-</t>
    </r>
  </si>
  <si>
    <r>
      <rPr>
        <sz val="10"/>
        <rFont val="Noto Sans CJK SC"/>
        <family val="2"/>
      </rPr>
      <t xml:space="preserve">聽解 </t>
    </r>
    <r>
      <rPr>
        <sz val="10"/>
        <rFont val="Microsoft JhengHei"/>
        <family val="0"/>
        <charset val="1"/>
      </rPr>
      <t xml:space="preserve">0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18</t>
    </r>
  </si>
  <si>
    <r>
      <rPr>
        <sz val="10"/>
        <rFont val="Noto Sans CJK SC"/>
        <family val="2"/>
      </rPr>
      <t xml:space="preserve">聽力的分數比較低，還沒過線，可能是 </t>
    </r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的聽解語速快、話題抽象，還常有好幾個人在討論，資訊一多就跟不上，或者每個字都聽懂了卻抓不到整體的意思。建議可以先從新聞和訪談這類有結構的素材開始，聽完用日文整理重點，再對照文字稿。</t>
    </r>
  </si>
  <si>
    <r>
      <rPr>
        <sz val="10"/>
        <rFont val="Microsoft JhengHei"/>
        <family val="0"/>
        <charset val="1"/>
      </rPr>
      <t xml:space="preserve">N1|C_</t>
    </r>
    <r>
      <rPr>
        <sz val="10"/>
        <rFont val="Noto Sans CJK SC"/>
        <family val="2"/>
      </rPr>
      <t xml:space="preserve">聽解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偏低</t>
    </r>
    <r>
      <rPr>
        <sz val="10"/>
        <rFont val="Microsoft JhengHei"/>
        <family val="0"/>
        <charset val="1"/>
      </rPr>
      <t xml:space="preserve">|-</t>
    </r>
  </si>
  <si>
    <r>
      <rPr>
        <sz val="10"/>
        <rFont val="Noto Sans CJK SC"/>
        <family val="2"/>
      </rPr>
      <t xml:space="preserve">聽解 </t>
    </r>
    <r>
      <rPr>
        <sz val="10"/>
        <rFont val="Microsoft JhengHei"/>
        <family val="0"/>
        <charset val="1"/>
      </rPr>
      <t xml:space="preserve">19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29</t>
    </r>
  </si>
  <si>
    <t xml:space="preserve">你已經能聽懂不少內容了，是很好的開始！只是抽象的話題或多人討論的時候還是容易跟丟。建議多聽討論型的節目或演講，練習分辨誰在說什麼、立場是什麼，聽完試著用自己的話整理。</t>
  </si>
  <si>
    <r>
      <rPr>
        <sz val="10"/>
        <rFont val="Microsoft JhengHei"/>
        <family val="0"/>
        <charset val="1"/>
      </rPr>
      <t xml:space="preserve">N1|C_</t>
    </r>
    <r>
      <rPr>
        <sz val="10"/>
        <rFont val="Noto Sans CJK SC"/>
        <family val="2"/>
      </rPr>
      <t xml:space="preserve">聽解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中</t>
    </r>
    <r>
      <rPr>
        <sz val="10"/>
        <rFont val="Microsoft JhengHei"/>
        <family val="0"/>
        <charset val="1"/>
      </rPr>
      <t xml:space="preserve">|-</t>
    </r>
  </si>
  <si>
    <r>
      <rPr>
        <sz val="10"/>
        <rFont val="Noto Sans CJK SC"/>
        <family val="2"/>
      </rPr>
      <t xml:space="preserve">聽解 </t>
    </r>
    <r>
      <rPr>
        <sz val="10"/>
        <rFont val="Microsoft JhengHei"/>
        <family val="0"/>
        <charset val="1"/>
      </rPr>
      <t xml:space="preserve">30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44</t>
    </r>
  </si>
  <si>
    <r>
      <rPr>
        <sz val="10"/>
        <rFont val="Noto Sans CJK SC"/>
        <family val="2"/>
      </rPr>
      <t xml:space="preserve">這次的聽力表現不錯，</t>
    </r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的內容大部分都能掌握了。接下來可以把聽力當成日常的一部分，像是固定聽日文的 </t>
    </r>
    <r>
      <rPr>
        <sz val="10"/>
        <rFont val="Microsoft JhengHei"/>
        <family val="0"/>
        <charset val="1"/>
      </rPr>
      <t xml:space="preserve">podcast </t>
    </r>
    <r>
      <rPr>
        <sz val="10"/>
        <rFont val="Noto Sans CJK SC"/>
        <family val="2"/>
      </rPr>
      <t xml:space="preserve">或新聞，讓耳朵一直保持在這個狀態。</t>
    </r>
  </si>
  <si>
    <r>
      <rPr>
        <sz val="10"/>
        <rFont val="Microsoft JhengHei"/>
        <family val="0"/>
        <charset val="1"/>
      </rPr>
      <t xml:space="preserve">N1|C_</t>
    </r>
    <r>
      <rPr>
        <sz val="10"/>
        <rFont val="Noto Sans CJK SC"/>
        <family val="2"/>
      </rPr>
      <t xml:space="preserve">聽解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高</t>
    </r>
    <r>
      <rPr>
        <sz val="10"/>
        <rFont val="Microsoft JhengHei"/>
        <family val="0"/>
        <charset val="1"/>
      </rPr>
      <t xml:space="preserve">|-</t>
    </r>
  </si>
  <si>
    <r>
      <rPr>
        <sz val="10"/>
        <rFont val="Noto Sans CJK SC"/>
        <family val="2"/>
      </rPr>
      <t xml:space="preserve">聽解 </t>
    </r>
    <r>
      <rPr>
        <sz val="10"/>
        <rFont val="Microsoft JhengHei"/>
        <family val="0"/>
        <charset val="1"/>
      </rPr>
      <t xml:space="preserve">45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60</t>
    </r>
  </si>
  <si>
    <r>
      <rPr>
        <sz val="10"/>
        <rFont val="Noto Sans CJK SC"/>
        <family val="2"/>
      </rPr>
      <t xml:space="preserve">聽力是你的強項，</t>
    </r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的聽解已經難不倒你了。接下來就是把日文真正用起來，像是聽專業領域的內容，或直接跟日本人對話，實力已經足夠支撐這些了。</t>
    </r>
  </si>
  <si>
    <r>
      <rPr>
        <sz val="10"/>
        <rFont val="Microsoft JhengHei"/>
        <family val="0"/>
        <charset val="1"/>
      </rPr>
      <t xml:space="preserve">N2|A_</t>
    </r>
    <r>
      <rPr>
        <sz val="10"/>
        <rFont val="Noto Sans CJK SC"/>
        <family val="2"/>
      </rPr>
      <t xml:space="preserve">總判定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單科未達</t>
    </r>
    <r>
      <rPr>
        <sz val="10"/>
        <rFont val="Microsoft JhengHei"/>
        <family val="0"/>
        <charset val="1"/>
      </rPr>
      <t xml:space="preserve">|-</t>
    </r>
  </si>
  <si>
    <r>
      <rPr>
        <sz val="10"/>
        <rFont val="Noto Sans CJK SC"/>
        <family val="2"/>
      </rPr>
      <t xml:space="preserve">總分≥</t>
    </r>
    <r>
      <rPr>
        <sz val="10"/>
        <rFont val="Microsoft JhengHei"/>
        <family val="0"/>
        <charset val="1"/>
      </rPr>
      <t xml:space="preserve">90 </t>
    </r>
    <r>
      <rPr>
        <sz val="10"/>
        <rFont val="Noto Sans CJK SC"/>
        <family val="2"/>
      </rPr>
      <t xml:space="preserve">但有一科未達門檻</t>
    </r>
  </si>
  <si>
    <r>
      <rPr>
        <sz val="10"/>
        <rFont val="Noto Sans CJK SC"/>
        <family val="2"/>
      </rPr>
      <t xml:space="preserve">現在先集中把那一科補起來，其他科維持住，</t>
    </r>
    <r>
      <rPr>
        <sz val="10"/>
        <rFont val="Microsoft JhengHei"/>
        <family val="0"/>
        <charset val="1"/>
      </rPr>
      <t xml:space="preserve">12 </t>
    </r>
    <r>
      <rPr>
        <sz val="10"/>
        <rFont val="Noto Sans CJK SC"/>
        <family val="2"/>
      </rPr>
      <t xml:space="preserve">月再考一次 </t>
    </r>
    <r>
      <rPr>
        <sz val="10"/>
        <rFont val="Microsoft JhengHei"/>
        <family val="0"/>
        <charset val="1"/>
      </rPr>
      <t xml:space="preserve">N2</t>
    </r>
    <r>
      <rPr>
        <sz val="10"/>
        <rFont val="Noto Sans CJK SC"/>
        <family val="2"/>
      </rPr>
      <t xml:space="preserve">，應該就能順利過了。</t>
    </r>
  </si>
  <si>
    <r>
      <rPr>
        <sz val="10"/>
        <rFont val="Microsoft JhengHei"/>
        <family val="0"/>
        <charset val="1"/>
      </rPr>
      <t xml:space="preserve">N2|A_</t>
    </r>
    <r>
      <rPr>
        <sz val="10"/>
        <rFont val="Noto Sans CJK SC"/>
        <family val="2"/>
      </rPr>
      <t xml:space="preserve">總判定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差</t>
    </r>
    <r>
      <rPr>
        <sz val="10"/>
        <rFont val="Microsoft JhengHei"/>
        <family val="0"/>
        <charset val="1"/>
      </rPr>
      <t xml:space="preserve">20+|-</t>
    </r>
  </si>
  <si>
    <r>
      <rPr>
        <sz val="10"/>
        <rFont val="Noto Sans CJK SC"/>
        <family val="2"/>
      </rPr>
      <t xml:space="preserve">總分 ≤ </t>
    </r>
    <r>
      <rPr>
        <sz val="10"/>
        <rFont val="Microsoft JhengHei"/>
        <family val="0"/>
        <charset val="1"/>
      </rPr>
      <t xml:space="preserve">70</t>
    </r>
    <r>
      <rPr>
        <sz val="10"/>
        <rFont val="Noto Sans CJK SC"/>
        <family val="2"/>
      </rPr>
      <t xml:space="preserve">（差 </t>
    </r>
    <r>
      <rPr>
        <sz val="10"/>
        <rFont val="Microsoft JhengHei"/>
        <family val="0"/>
        <charset val="1"/>
      </rPr>
      <t xml:space="preserve">20 </t>
    </r>
    <r>
      <rPr>
        <sz val="10"/>
        <rFont val="Noto Sans CJK SC"/>
        <family val="2"/>
      </rPr>
      <t xml:space="preserve">分以上）</t>
    </r>
  </si>
  <si>
    <r>
      <rPr>
        <sz val="10"/>
        <rFont val="Noto Sans CJK SC"/>
        <family val="2"/>
      </rPr>
      <t xml:space="preserve">你願意把成績交出來，這一步就很值得肯定。這次的分數離及格還有一段距離，表示 </t>
    </r>
    <r>
      <rPr>
        <sz val="10"/>
        <rFont val="Microsoft JhengHei"/>
        <family val="0"/>
        <charset val="1"/>
      </rPr>
      <t xml:space="preserve">N2 </t>
    </r>
    <r>
      <rPr>
        <sz val="10"/>
        <rFont val="Noto Sans CJK SC"/>
        <family val="2"/>
      </rPr>
      <t xml:space="preserve">的單字量和長文對你來說還有點吃力。</t>
    </r>
  </si>
  <si>
    <r>
      <rPr>
        <sz val="10"/>
        <rFont val="Microsoft JhengHei"/>
        <family val="0"/>
        <charset val="1"/>
      </rPr>
      <t xml:space="preserve">12 </t>
    </r>
    <r>
      <rPr>
        <sz val="10"/>
        <rFont val="Noto Sans CJK SC"/>
        <family val="2"/>
      </rPr>
      <t xml:space="preserve">月可以再考一次 </t>
    </r>
    <r>
      <rPr>
        <sz val="10"/>
        <rFont val="Microsoft JhengHei"/>
        <family val="0"/>
        <charset val="1"/>
      </rPr>
      <t xml:space="preserve">N2</t>
    </r>
    <r>
      <rPr>
        <sz val="10"/>
        <rFont val="Noto Sans CJK SC"/>
        <family val="2"/>
      </rPr>
      <t xml:space="preserve">；如果 </t>
    </r>
    <r>
      <rPr>
        <sz val="10"/>
        <rFont val="Microsoft JhengHei"/>
        <family val="0"/>
        <charset val="1"/>
      </rPr>
      <t xml:space="preserve">N3 </t>
    </r>
    <r>
      <rPr>
        <sz val="10"/>
        <rFont val="Noto Sans CJK SC"/>
        <family val="2"/>
      </rPr>
      <t xml:space="preserve">還沒考過，也可以先把 </t>
    </r>
    <r>
      <rPr>
        <sz val="10"/>
        <rFont val="Microsoft JhengHei"/>
        <family val="0"/>
        <charset val="1"/>
      </rPr>
      <t xml:space="preserve">N3 </t>
    </r>
    <r>
      <rPr>
        <sz val="10"/>
        <rFont val="Noto Sans CJK SC"/>
        <family val="2"/>
      </rPr>
      <t xml:space="preserve">穩穩拿下來，會比較踏實。</t>
    </r>
  </si>
  <si>
    <r>
      <rPr>
        <sz val="10"/>
        <rFont val="Microsoft JhengHei"/>
        <family val="0"/>
        <charset val="1"/>
      </rPr>
      <t xml:space="preserve">N2|A_</t>
    </r>
    <r>
      <rPr>
        <sz val="10"/>
        <rFont val="Noto Sans CJK SC"/>
        <family val="2"/>
      </rPr>
      <t xml:space="preserve">總判定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差</t>
    </r>
    <r>
      <rPr>
        <sz val="10"/>
        <rFont val="Microsoft JhengHei"/>
        <family val="0"/>
        <charset val="1"/>
      </rPr>
      <t xml:space="preserve">1-19|-</t>
    </r>
  </si>
  <si>
    <r>
      <rPr>
        <sz val="10"/>
        <rFont val="Noto Sans CJK SC"/>
        <family val="2"/>
      </rPr>
      <t xml:space="preserve">總分 </t>
    </r>
    <r>
      <rPr>
        <sz val="10"/>
        <rFont val="Microsoft JhengHei"/>
        <family val="0"/>
        <charset val="1"/>
      </rPr>
      <t xml:space="preserve">71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89</t>
    </r>
    <r>
      <rPr>
        <sz val="10"/>
        <rFont val="Noto Sans CJK SC"/>
        <family val="2"/>
      </rPr>
      <t xml:space="preserve">（差 </t>
    </r>
    <r>
      <rPr>
        <sz val="10"/>
        <rFont val="Microsoft JhengHei"/>
        <family val="0"/>
        <charset val="1"/>
      </rPr>
      <t xml:space="preserve">1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19 </t>
    </r>
    <r>
      <rPr>
        <sz val="10"/>
        <rFont val="Noto Sans CJK SC"/>
        <family val="2"/>
      </rPr>
      <t xml:space="preserve">分）</t>
    </r>
  </si>
  <si>
    <r>
      <rPr>
        <sz val="10"/>
        <rFont val="Noto Sans CJK SC"/>
        <family val="2"/>
      </rPr>
      <t xml:space="preserve">這次其實只差一點點就及格了，代表你 </t>
    </r>
    <r>
      <rPr>
        <sz val="10"/>
        <rFont val="Microsoft JhengHei"/>
        <family val="0"/>
        <charset val="1"/>
      </rPr>
      <t xml:space="preserve">N2 </t>
    </r>
    <r>
      <rPr>
        <sz val="10"/>
        <rFont val="Noto Sans CJK SC"/>
        <family val="2"/>
      </rPr>
      <t xml:space="preserve">的基礎已經有了，只是還不太穩。</t>
    </r>
  </si>
  <si>
    <r>
      <rPr>
        <sz val="10"/>
        <rFont val="Noto Sans CJK SC"/>
        <family val="2"/>
      </rPr>
      <t xml:space="preserve">這種差距通常再練一輪就跨得過去，照上面的方向補一補，</t>
    </r>
    <r>
      <rPr>
        <sz val="10"/>
        <rFont val="Microsoft JhengHei"/>
        <family val="0"/>
        <charset val="1"/>
      </rPr>
      <t xml:space="preserve">12 </t>
    </r>
    <r>
      <rPr>
        <sz val="10"/>
        <rFont val="Noto Sans CJK SC"/>
        <family val="2"/>
      </rPr>
      <t xml:space="preserve">月再考一次 </t>
    </r>
    <r>
      <rPr>
        <sz val="10"/>
        <rFont val="Microsoft JhengHei"/>
        <family val="0"/>
        <charset val="1"/>
      </rPr>
      <t xml:space="preserve">N2</t>
    </r>
    <r>
      <rPr>
        <sz val="10"/>
        <rFont val="Noto Sans CJK SC"/>
        <family val="2"/>
      </rPr>
      <t xml:space="preserve">，不用太擔心。</t>
    </r>
  </si>
  <si>
    <r>
      <rPr>
        <sz val="10"/>
        <rFont val="Microsoft JhengHei"/>
        <family val="0"/>
        <charset val="1"/>
      </rPr>
      <t xml:space="preserve">N2|A_</t>
    </r>
    <r>
      <rPr>
        <sz val="10"/>
        <rFont val="Noto Sans CJK SC"/>
        <family val="2"/>
      </rPr>
      <t xml:space="preserve">總判定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過</t>
    </r>
    <r>
      <rPr>
        <sz val="10"/>
        <rFont val="Microsoft JhengHei"/>
        <family val="0"/>
        <charset val="1"/>
      </rPr>
      <t xml:space="preserve">0-14|-</t>
    </r>
  </si>
  <si>
    <r>
      <rPr>
        <sz val="10"/>
        <rFont val="Noto Sans CJK SC"/>
        <family val="2"/>
      </rPr>
      <t xml:space="preserve">總分 </t>
    </r>
    <r>
      <rPr>
        <sz val="10"/>
        <rFont val="Microsoft JhengHei"/>
        <family val="0"/>
        <charset val="1"/>
      </rPr>
      <t xml:space="preserve">90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104</t>
    </r>
    <r>
      <rPr>
        <sz val="10"/>
        <rFont val="Noto Sans CJK SC"/>
        <family val="2"/>
      </rPr>
      <t xml:space="preserve">（合格，多 </t>
    </r>
    <r>
      <rPr>
        <sz val="10"/>
        <rFont val="Microsoft JhengHei"/>
        <family val="0"/>
        <charset val="1"/>
      </rPr>
      <t xml:space="preserve">0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14 </t>
    </r>
    <r>
      <rPr>
        <sz val="10"/>
        <rFont val="Noto Sans CJK SC"/>
        <family val="2"/>
      </rPr>
      <t xml:space="preserve">分）</t>
    </r>
  </si>
  <si>
    <r>
      <rPr>
        <sz val="10"/>
        <rFont val="Microsoft JhengHei"/>
        <family val="0"/>
        <charset val="1"/>
      </rPr>
      <t xml:space="preserve">N2 </t>
    </r>
    <r>
      <rPr>
        <sz val="10"/>
        <rFont val="Noto Sans CJK SC"/>
        <family val="2"/>
      </rPr>
      <t xml:space="preserve">可以再練深一點，</t>
    </r>
    <r>
      <rPr>
        <sz val="10"/>
        <rFont val="Microsoft JhengHei"/>
        <family val="0"/>
        <charset val="1"/>
      </rPr>
      <t xml:space="preserve">12 </t>
    </r>
    <r>
      <rPr>
        <sz val="10"/>
        <rFont val="Noto Sans CJK SC"/>
        <family val="2"/>
      </rPr>
      <t xml:space="preserve">月同級再考一次把分數考穩；如果想直接挑戰 </t>
    </r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也可以，只是要有心理準備，這幾個月得下多一點功夫。</t>
    </r>
  </si>
  <si>
    <r>
      <rPr>
        <sz val="10"/>
        <rFont val="Microsoft JhengHei"/>
        <family val="0"/>
        <charset val="1"/>
      </rPr>
      <t xml:space="preserve">N2|A_</t>
    </r>
    <r>
      <rPr>
        <sz val="10"/>
        <rFont val="Noto Sans CJK SC"/>
        <family val="2"/>
      </rPr>
      <t xml:space="preserve">總判定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過</t>
    </r>
    <r>
      <rPr>
        <sz val="10"/>
        <rFont val="Microsoft JhengHei"/>
        <family val="0"/>
        <charset val="1"/>
      </rPr>
      <t xml:space="preserve">15-39|-</t>
    </r>
  </si>
  <si>
    <r>
      <rPr>
        <sz val="10"/>
        <rFont val="Noto Sans CJK SC"/>
        <family val="2"/>
      </rPr>
      <t xml:space="preserve">總分 </t>
    </r>
    <r>
      <rPr>
        <sz val="10"/>
        <rFont val="Microsoft JhengHei"/>
        <family val="0"/>
        <charset val="1"/>
      </rPr>
      <t xml:space="preserve">105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129</t>
    </r>
    <r>
      <rPr>
        <sz val="10"/>
        <rFont val="Noto Sans CJK SC"/>
        <family val="2"/>
      </rPr>
      <t xml:space="preserve">（合格，多 </t>
    </r>
    <r>
      <rPr>
        <sz val="10"/>
        <rFont val="Microsoft JhengHei"/>
        <family val="0"/>
        <charset val="1"/>
      </rPr>
      <t xml:space="preserve">15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39 </t>
    </r>
    <r>
      <rPr>
        <sz val="10"/>
        <rFont val="Noto Sans CJK SC"/>
        <family val="2"/>
      </rPr>
      <t xml:space="preserve">分）</t>
    </r>
  </si>
  <si>
    <r>
      <rPr>
        <sz val="10"/>
        <rFont val="Noto Sans CJK SC"/>
        <family val="2"/>
      </rPr>
      <t xml:space="preserve">恭喜合格！而且是穩穩地過，</t>
    </r>
    <r>
      <rPr>
        <sz val="10"/>
        <rFont val="Microsoft JhengHei"/>
        <family val="0"/>
        <charset val="1"/>
      </rPr>
      <t xml:space="preserve">N2 </t>
    </r>
    <r>
      <rPr>
        <sz val="10"/>
        <rFont val="Noto Sans CJK SC"/>
        <family val="2"/>
      </rPr>
      <t xml:space="preserve">的內容已經掌握得不錯了。</t>
    </r>
  </si>
  <si>
    <r>
      <rPr>
        <sz val="10"/>
        <rFont val="Noto Sans CJK SC"/>
        <family val="2"/>
      </rPr>
      <t xml:space="preserve">現在可以開始慢慢接觸 </t>
    </r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的內容，</t>
    </r>
    <r>
      <rPr>
        <sz val="10"/>
        <rFont val="Microsoft JhengHei"/>
        <family val="0"/>
        <charset val="1"/>
      </rPr>
      <t xml:space="preserve">12 </t>
    </r>
    <r>
      <rPr>
        <sz val="10"/>
        <rFont val="Noto Sans CJK SC"/>
        <family val="2"/>
      </rPr>
      <t xml:space="preserve">月直接報 </t>
    </r>
    <r>
      <rPr>
        <sz val="10"/>
        <rFont val="Microsoft JhengHei"/>
        <family val="0"/>
        <charset val="1"/>
      </rPr>
      <t xml:space="preserve">N1</t>
    </r>
    <r>
      <rPr>
        <sz val="10"/>
        <rFont val="Noto Sans CJK SC"/>
        <family val="2"/>
      </rPr>
      <t xml:space="preserve">，時間剛剛好。</t>
    </r>
  </si>
  <si>
    <r>
      <rPr>
        <sz val="10"/>
        <rFont val="Microsoft JhengHei"/>
        <family val="0"/>
        <charset val="1"/>
      </rPr>
      <t xml:space="preserve">N2|A_</t>
    </r>
    <r>
      <rPr>
        <sz val="10"/>
        <rFont val="Noto Sans CJK SC"/>
        <family val="2"/>
      </rPr>
      <t xml:space="preserve">總判定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過</t>
    </r>
    <r>
      <rPr>
        <sz val="10"/>
        <rFont val="Microsoft JhengHei"/>
        <family val="0"/>
        <charset val="1"/>
      </rPr>
      <t xml:space="preserve">40+|-</t>
    </r>
  </si>
  <si>
    <r>
      <rPr>
        <sz val="10"/>
        <rFont val="Noto Sans CJK SC"/>
        <family val="2"/>
      </rPr>
      <t xml:space="preserve">總分 ≥ </t>
    </r>
    <r>
      <rPr>
        <sz val="10"/>
        <rFont val="Microsoft JhengHei"/>
        <family val="0"/>
        <charset val="1"/>
      </rPr>
      <t xml:space="preserve">130</t>
    </r>
    <r>
      <rPr>
        <sz val="10"/>
        <rFont val="Noto Sans CJK SC"/>
        <family val="2"/>
      </rPr>
      <t xml:space="preserve">（合格，多 </t>
    </r>
    <r>
      <rPr>
        <sz val="10"/>
        <rFont val="Microsoft JhengHei"/>
        <family val="0"/>
        <charset val="1"/>
      </rPr>
      <t xml:space="preserve">40 </t>
    </r>
    <r>
      <rPr>
        <sz val="10"/>
        <rFont val="Noto Sans CJK SC"/>
        <family val="2"/>
      </rPr>
      <t xml:space="preserve">分以上）</t>
    </r>
  </si>
  <si>
    <r>
      <rPr>
        <sz val="10"/>
        <rFont val="Noto Sans CJK SC"/>
        <family val="2"/>
      </rPr>
      <t xml:space="preserve">恭喜，這次的成績很不錯，</t>
    </r>
    <r>
      <rPr>
        <sz val="10"/>
        <rFont val="Microsoft JhengHei"/>
        <family val="0"/>
        <charset val="1"/>
      </rPr>
      <t xml:space="preserve">N2 </t>
    </r>
    <r>
      <rPr>
        <sz val="10"/>
        <rFont val="Noto Sans CJK SC"/>
        <family val="2"/>
      </rPr>
      <t xml:space="preserve">對你來說已經沒什麼問題了。</t>
    </r>
  </si>
  <si>
    <r>
      <rPr>
        <sz val="10"/>
        <rFont val="Microsoft JhengHei"/>
        <family val="0"/>
        <charset val="1"/>
      </rPr>
      <t xml:space="preserve">12 </t>
    </r>
    <r>
      <rPr>
        <sz val="10"/>
        <rFont val="Noto Sans CJK SC"/>
        <family val="2"/>
      </rPr>
      <t xml:space="preserve">月直接報 </t>
    </r>
    <r>
      <rPr>
        <sz val="10"/>
        <rFont val="Microsoft JhengHei"/>
        <family val="0"/>
        <charset val="1"/>
      </rPr>
      <t xml:space="preserve">N1</t>
    </r>
    <r>
      <rPr>
        <sz val="10"/>
        <rFont val="Noto Sans CJK SC"/>
        <family val="2"/>
      </rPr>
      <t xml:space="preserve">，以你現在的程度，準備起來會很順的。</t>
    </r>
  </si>
  <si>
    <r>
      <rPr>
        <sz val="10"/>
        <rFont val="Microsoft JhengHei"/>
        <family val="0"/>
        <charset val="1"/>
      </rPr>
      <t xml:space="preserve">N2|B_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未達</t>
    </r>
    <r>
      <rPr>
        <sz val="10"/>
        <rFont val="Microsoft JhengHei"/>
        <family val="0"/>
        <charset val="1"/>
      </rPr>
      <t xml:space="preserve">|AA</t>
    </r>
  </si>
  <si>
    <r>
      <rPr>
        <sz val="10"/>
        <rFont val="Microsoft JhengHei"/>
        <family val="0"/>
        <charset val="1"/>
      </rPr>
      <t xml:space="preserve">N2|B_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未達</t>
    </r>
    <r>
      <rPr>
        <sz val="10"/>
        <rFont val="Microsoft JhengHei"/>
        <family val="0"/>
        <charset val="1"/>
      </rPr>
      <t xml:space="preserve">|AB</t>
    </r>
  </si>
  <si>
    <r>
      <rPr>
        <sz val="10"/>
        <rFont val="Noto Sans CJK SC"/>
        <family val="2"/>
      </rPr>
      <t xml:space="preserve">言語知識這科的分數比較低，還沒過線，單字的部分你掌握得不錯，文法比較弱一些，</t>
    </r>
    <r>
      <rPr>
        <sz val="10"/>
        <rFont val="Microsoft JhengHei"/>
        <family val="0"/>
        <charset val="1"/>
      </rPr>
      <t xml:space="preserve">N2 </t>
    </r>
    <r>
      <rPr>
        <sz val="10"/>
        <rFont val="Noto Sans CJK SC"/>
        <family val="2"/>
      </rPr>
      <t xml:space="preserve">有很多意思相近、用法卻不同的句型，很容易選錯。建議可以把句型按意思分組整理，一組一組對照差別，多看例句，句型看熟了，這科的分數會慢慢回來。</t>
    </r>
  </si>
  <si>
    <r>
      <rPr>
        <sz val="10"/>
        <rFont val="Microsoft JhengHei"/>
        <family val="0"/>
        <charset val="1"/>
      </rPr>
      <t xml:space="preserve">N2|B_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未達</t>
    </r>
    <r>
      <rPr>
        <sz val="10"/>
        <rFont val="Microsoft JhengHei"/>
        <family val="0"/>
        <charset val="1"/>
      </rPr>
      <t xml:space="preserve">|BA</t>
    </r>
  </si>
  <si>
    <r>
      <rPr>
        <sz val="10"/>
        <rFont val="Noto Sans CJK SC"/>
        <family val="2"/>
      </rPr>
      <t xml:space="preserve">言語知識這科的分數比較低，還沒過線，文法的部分掌握得還可以，單字比較弱一些，</t>
    </r>
    <r>
      <rPr>
        <sz val="10"/>
        <rFont val="Microsoft JhengHei"/>
        <family val="0"/>
        <charset val="1"/>
      </rPr>
      <t xml:space="preserve">N2 </t>
    </r>
    <r>
      <rPr>
        <sz val="10"/>
        <rFont val="Noto Sans CJK SC"/>
        <family val="2"/>
      </rPr>
      <t xml:space="preserve">的漢字語彙和慣用表現很多，字看不懂就沒辦法作答。建議可以每天固定背一小批，漢字的讀音、意思和常見搭配一起記，字認得多了，這科的分數會慢慢回來。</t>
    </r>
  </si>
  <si>
    <r>
      <rPr>
        <sz val="10"/>
        <rFont val="Microsoft JhengHei"/>
        <family val="0"/>
        <charset val="1"/>
      </rPr>
      <t xml:space="preserve">N2|B_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未達</t>
    </r>
    <r>
      <rPr>
        <sz val="10"/>
        <rFont val="Microsoft JhengHei"/>
        <family val="0"/>
        <charset val="1"/>
      </rPr>
      <t xml:space="preserve">|BB</t>
    </r>
  </si>
  <si>
    <r>
      <rPr>
        <sz val="10"/>
        <rFont val="Noto Sans CJK SC"/>
        <family val="2"/>
      </rPr>
      <t xml:space="preserve">言語知識這科的分數比較低，還沒過線，表示你對</t>
    </r>
    <r>
      <rPr>
        <sz val="10"/>
        <rFont val="Microsoft JhengHei"/>
        <family val="0"/>
        <charset val="1"/>
      </rPr>
      <t xml:space="preserve">N2 </t>
    </r>
    <r>
      <rPr>
        <sz val="10"/>
        <rFont val="Noto Sans CJK SC"/>
        <family val="2"/>
      </rPr>
      <t xml:space="preserve">的單字和句型都還沒那麼熟練。建議先把</t>
    </r>
    <r>
      <rPr>
        <sz val="10"/>
        <rFont val="Microsoft JhengHei"/>
        <family val="0"/>
        <charset val="1"/>
      </rPr>
      <t xml:space="preserve">N2 </t>
    </r>
    <r>
      <rPr>
        <sz val="10"/>
        <rFont val="Noto Sans CJK SC"/>
        <family val="2"/>
      </rPr>
      <t xml:space="preserve">的單字和句型完整複習一輪，再做題目，分數會慢慢回來。</t>
    </r>
  </si>
  <si>
    <r>
      <rPr>
        <sz val="10"/>
        <rFont val="Microsoft JhengHei"/>
        <family val="0"/>
        <charset val="1"/>
      </rPr>
      <t xml:space="preserve">N2|B_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未達</t>
    </r>
    <r>
      <rPr>
        <sz val="10"/>
        <rFont val="Microsoft JhengHei"/>
        <family val="0"/>
        <charset val="1"/>
      </rPr>
      <t xml:space="preserve">|C1</t>
    </r>
  </si>
  <si>
    <r>
      <rPr>
        <sz val="10"/>
        <rFont val="Noto Sans CJK SC"/>
        <family val="2"/>
      </rPr>
      <t xml:space="preserve">言語知識這科的分數比較低，還沒過線，〇〇這塊明顯還不太熟，分數主要是被這裡拉下來的。建議先不要急著做題目，回到課本把 </t>
    </r>
    <r>
      <rPr>
        <sz val="10"/>
        <rFont val="Microsoft JhengHei"/>
        <family val="0"/>
        <charset val="1"/>
      </rPr>
      <t xml:space="preserve">N2 </t>
    </r>
    <r>
      <rPr>
        <sz val="10"/>
        <rFont val="Noto Sans CJK SC"/>
        <family val="2"/>
      </rPr>
      <t xml:space="preserve">的〇〇確實學過一遍，會是比較實在的做法。</t>
    </r>
  </si>
  <si>
    <r>
      <rPr>
        <sz val="10"/>
        <rFont val="Microsoft JhengHei"/>
        <family val="0"/>
        <charset val="1"/>
      </rPr>
      <t xml:space="preserve">N2|B_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未達</t>
    </r>
    <r>
      <rPr>
        <sz val="10"/>
        <rFont val="Microsoft JhengHei"/>
        <family val="0"/>
        <charset val="1"/>
      </rPr>
      <t xml:space="preserve">|CC</t>
    </r>
  </si>
  <si>
    <r>
      <rPr>
        <sz val="10"/>
        <rFont val="Noto Sans CJK SC"/>
        <family val="2"/>
      </rPr>
      <t xml:space="preserve">言語知識這科的分數比較低，還沒過線，單字和文法都還沒那麼熟，表示</t>
    </r>
    <r>
      <rPr>
        <sz val="10"/>
        <rFont val="Microsoft JhengHei"/>
        <family val="0"/>
        <charset val="1"/>
      </rPr>
      <t xml:space="preserve">N2 </t>
    </r>
    <r>
      <rPr>
        <sz val="10"/>
        <rFont val="Noto Sans CJK SC"/>
        <family val="2"/>
      </rPr>
      <t xml:space="preserve">的內容還沒真正吸收進去，可能 </t>
    </r>
    <r>
      <rPr>
        <sz val="10"/>
        <rFont val="Microsoft JhengHei"/>
        <family val="0"/>
        <charset val="1"/>
      </rPr>
      <t xml:space="preserve">N3 </t>
    </r>
    <r>
      <rPr>
        <sz val="10"/>
        <rFont val="Noto Sans CJK SC"/>
        <family val="2"/>
      </rPr>
      <t xml:space="preserve">的底也還有點鬆。建議先回到課本從頭把內容確實學一遍，不用急著做題目，慢慢把底打穩。</t>
    </r>
  </si>
  <si>
    <r>
      <rPr>
        <sz val="10"/>
        <rFont val="Microsoft JhengHei"/>
        <family val="0"/>
        <charset val="1"/>
      </rPr>
      <t xml:space="preserve">N2|B_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偏低</t>
    </r>
    <r>
      <rPr>
        <sz val="10"/>
        <rFont val="Microsoft JhengHei"/>
        <family val="0"/>
        <charset val="1"/>
      </rPr>
      <t xml:space="preserve">|AA</t>
    </r>
  </si>
  <si>
    <r>
      <rPr>
        <sz val="10"/>
        <rFont val="Microsoft JhengHei"/>
        <family val="0"/>
        <charset val="1"/>
      </rPr>
      <t xml:space="preserve">N2|B_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偏低</t>
    </r>
    <r>
      <rPr>
        <sz val="10"/>
        <rFont val="Microsoft JhengHei"/>
        <family val="0"/>
        <charset val="1"/>
      </rPr>
      <t xml:space="preserve">|AB</t>
    </r>
  </si>
  <si>
    <r>
      <rPr>
        <sz val="10"/>
        <rFont val="Microsoft JhengHei"/>
        <family val="0"/>
        <charset val="1"/>
      </rPr>
      <t xml:space="preserve">N2|B_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偏低</t>
    </r>
    <r>
      <rPr>
        <sz val="10"/>
        <rFont val="Microsoft JhengHei"/>
        <family val="0"/>
        <charset val="1"/>
      </rPr>
      <t xml:space="preserve">|BA</t>
    </r>
  </si>
  <si>
    <t xml:space="preserve">言語知識有過線了，但分數還偏低，文法掌握得不錯，單字還有些地方不太穩，句型看得懂但字認不出來。建議可以每天固定背一小批，漢字的讀音、意思和常見搭配一起記，不要只記中文意思，會比較記得住。</t>
  </si>
  <si>
    <r>
      <rPr>
        <sz val="10"/>
        <rFont val="Microsoft JhengHei"/>
        <family val="0"/>
        <charset val="1"/>
      </rPr>
      <t xml:space="preserve">N2|B_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偏低</t>
    </r>
    <r>
      <rPr>
        <sz val="10"/>
        <rFont val="Microsoft JhengHei"/>
        <family val="0"/>
        <charset val="1"/>
      </rPr>
      <t xml:space="preserve">|BB</t>
    </r>
  </si>
  <si>
    <r>
      <rPr>
        <sz val="10"/>
        <rFont val="Noto Sans CJK SC"/>
        <family val="2"/>
      </rPr>
      <t xml:space="preserve">言語知識有過線了，但分數還偏低，代表你有一些基礎了，文法和單字都有一定掌握，但都還不夠熟，可能是練習量還不太夠。建議先把 </t>
    </r>
    <r>
      <rPr>
        <sz val="10"/>
        <rFont val="Microsoft JhengHei"/>
        <family val="0"/>
        <charset val="1"/>
      </rPr>
      <t xml:space="preserve">N2 </t>
    </r>
    <r>
      <rPr>
        <sz val="10"/>
        <rFont val="Noto Sans CJK SC"/>
        <family val="2"/>
      </rPr>
      <t xml:space="preserve">的教材完整複習一輪，再開始做題，幫助細節穩下來。</t>
    </r>
  </si>
  <si>
    <r>
      <rPr>
        <sz val="10"/>
        <rFont val="Microsoft JhengHei"/>
        <family val="0"/>
        <charset val="1"/>
      </rPr>
      <t xml:space="preserve">N2|B_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偏低</t>
    </r>
    <r>
      <rPr>
        <sz val="10"/>
        <rFont val="Microsoft JhengHei"/>
        <family val="0"/>
        <charset val="1"/>
      </rPr>
      <t xml:space="preserve">|C1</t>
    </r>
  </si>
  <si>
    <r>
      <rPr>
        <sz val="10"/>
        <rFont val="Noto Sans CJK SC"/>
        <family val="2"/>
      </rPr>
      <t xml:space="preserve">言語知識有過線了，但〇〇這塊明顯還不太熟，分數主要是被這裡拉下來的。建議先集中把 </t>
    </r>
    <r>
      <rPr>
        <sz val="10"/>
        <rFont val="Microsoft JhengHei"/>
        <family val="0"/>
        <charset val="1"/>
      </rPr>
      <t xml:space="preserve">N2 </t>
    </r>
    <r>
      <rPr>
        <sz val="10"/>
        <rFont val="Noto Sans CJK SC"/>
        <family val="2"/>
      </rPr>
      <t xml:space="preserve">的〇〇補起來，這科的分數會有感地往上。</t>
    </r>
  </si>
  <si>
    <r>
      <rPr>
        <sz val="10"/>
        <rFont val="Microsoft JhengHei"/>
        <family val="0"/>
        <charset val="1"/>
      </rPr>
      <t xml:space="preserve">N2|B_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偏低</t>
    </r>
    <r>
      <rPr>
        <sz val="10"/>
        <rFont val="Microsoft JhengHei"/>
        <family val="0"/>
        <charset val="1"/>
      </rPr>
      <t xml:space="preserve">|CC</t>
    </r>
  </si>
  <si>
    <r>
      <rPr>
        <sz val="10"/>
        <rFont val="Noto Sans CJK SC"/>
        <family val="2"/>
      </rPr>
      <t xml:space="preserve">言語知識有過線了，但分數還偏低，單字和文法都還不太熟，這種情況比較少見，可能是考試當天狀況特別不好。建議先回到課本把 </t>
    </r>
    <r>
      <rPr>
        <sz val="10"/>
        <rFont val="Microsoft JhengHei"/>
        <family val="0"/>
        <charset val="1"/>
      </rPr>
      <t xml:space="preserve">N2 </t>
    </r>
    <r>
      <rPr>
        <sz val="10"/>
        <rFont val="Noto Sans CJK SC"/>
        <family val="2"/>
      </rPr>
      <t xml:space="preserve">的單字和文法確實補一輪，再做幾回模擬題確認狀況。</t>
    </r>
  </si>
  <si>
    <r>
      <rPr>
        <sz val="10"/>
        <rFont val="Microsoft JhengHei"/>
        <family val="0"/>
        <charset val="1"/>
      </rPr>
      <t xml:space="preserve">N2|B_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中</t>
    </r>
    <r>
      <rPr>
        <sz val="10"/>
        <rFont val="Microsoft JhengHei"/>
        <family val="0"/>
        <charset val="1"/>
      </rPr>
      <t xml:space="preserve">|AA</t>
    </r>
  </si>
  <si>
    <r>
      <rPr>
        <sz val="10"/>
        <rFont val="Noto Sans CJK SC"/>
        <family val="2"/>
      </rPr>
      <t xml:space="preserve">言語知識這次表現蠻穩定的，單字和文法都掌握得不錯，基礎應該已經打得很穩。慢慢接觸 </t>
    </r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的內容會是個好時機。</t>
    </r>
  </si>
  <si>
    <r>
      <rPr>
        <sz val="10"/>
        <rFont val="Microsoft JhengHei"/>
        <family val="0"/>
        <charset val="1"/>
      </rPr>
      <t xml:space="preserve">N2|B_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中</t>
    </r>
    <r>
      <rPr>
        <sz val="10"/>
        <rFont val="Microsoft JhengHei"/>
        <family val="0"/>
        <charset val="1"/>
      </rPr>
      <t xml:space="preserve">|AB</t>
    </r>
  </si>
  <si>
    <r>
      <rPr>
        <sz val="10"/>
        <rFont val="Noto Sans CJK SC"/>
        <family val="2"/>
      </rPr>
      <t xml:space="preserve">言語知識這次表現蠻穩定的，單字沒什麼問題，文法還可以再練練。可以把常錯的句型整理起來再練一輪，同時慢慢接觸 </t>
    </r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的文法，往上會比較順。</t>
    </r>
  </si>
  <si>
    <r>
      <rPr>
        <sz val="10"/>
        <rFont val="Microsoft JhengHei"/>
        <family val="0"/>
        <charset val="1"/>
      </rPr>
      <t xml:space="preserve">N2|B_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中</t>
    </r>
    <r>
      <rPr>
        <sz val="10"/>
        <rFont val="Microsoft JhengHei"/>
        <family val="0"/>
        <charset val="1"/>
      </rPr>
      <t xml:space="preserve">|BA</t>
    </r>
  </si>
  <si>
    <r>
      <rPr>
        <sz val="10"/>
        <rFont val="Noto Sans CJK SC"/>
        <family val="2"/>
      </rPr>
      <t xml:space="preserve">言語知識這次表現蠻穩定的，文法沒什麼問題，單字還可以再多累積一些。可以趁這段時間把單字量往上拉，</t>
    </r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的單字會多很多，現在先累積會比較輕鬆。</t>
    </r>
  </si>
  <si>
    <r>
      <rPr>
        <sz val="10"/>
        <rFont val="Microsoft JhengHei"/>
        <family val="0"/>
        <charset val="1"/>
      </rPr>
      <t xml:space="preserve">N2|B_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中</t>
    </r>
    <r>
      <rPr>
        <sz val="10"/>
        <rFont val="Microsoft JhengHei"/>
        <family val="0"/>
        <charset val="1"/>
      </rPr>
      <t xml:space="preserve">|BB</t>
    </r>
  </si>
  <si>
    <r>
      <rPr>
        <sz val="10"/>
        <rFont val="Noto Sans CJK SC"/>
        <family val="2"/>
      </rPr>
      <t xml:space="preserve">言語知識這次表現蠻穩定的，不過單字和文法都還可以再練深一點，分數應該是靠整體語感撐起來的。建議把 </t>
    </r>
    <r>
      <rPr>
        <sz val="10"/>
        <rFont val="Microsoft JhengHei"/>
        <family val="0"/>
        <charset val="1"/>
      </rPr>
      <t xml:space="preserve">N2 </t>
    </r>
    <r>
      <rPr>
        <sz val="10"/>
        <rFont val="Noto Sans CJK SC"/>
        <family val="2"/>
      </rPr>
      <t xml:space="preserve">的基礎再過一輪，細節扎實了，往 </t>
    </r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會比較踏實。</t>
    </r>
  </si>
  <si>
    <r>
      <rPr>
        <sz val="10"/>
        <rFont val="Microsoft JhengHei"/>
        <family val="0"/>
        <charset val="1"/>
      </rPr>
      <t xml:space="preserve">N2|B_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中</t>
    </r>
    <r>
      <rPr>
        <sz val="10"/>
        <rFont val="Microsoft JhengHei"/>
        <family val="0"/>
        <charset val="1"/>
      </rPr>
      <t xml:space="preserve">|C1</t>
    </r>
  </si>
  <si>
    <r>
      <rPr>
        <sz val="10"/>
        <rFont val="Noto Sans CJK SC"/>
        <family val="2"/>
      </rPr>
      <t xml:space="preserve">言語知識整體表現不錯，不過〇〇這塊有點意外地弱，可能是這次剛好考到不熟的範圍。往 </t>
    </r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之前先把〇〇補一補，上去會比較輕鬆。</t>
    </r>
  </si>
  <si>
    <r>
      <rPr>
        <sz val="10"/>
        <rFont val="Microsoft JhengHei"/>
        <family val="0"/>
        <charset val="1"/>
      </rPr>
      <t xml:space="preserve">N2|B_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中</t>
    </r>
    <r>
      <rPr>
        <sz val="10"/>
        <rFont val="Microsoft JhengHei"/>
        <family val="0"/>
        <charset val="1"/>
      </rPr>
      <t xml:space="preserve">|CC</t>
    </r>
  </si>
  <si>
    <r>
      <rPr>
        <sz val="10"/>
        <rFont val="Noto Sans CJK SC"/>
        <family val="2"/>
      </rPr>
      <t xml:space="preserve">言語知識整體分數不錯，不過單字和文法都還不太熟，這種情況比較少見。往 </t>
    </r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之前先把單字和文法補起來，會走得比較穩。</t>
    </r>
  </si>
  <si>
    <r>
      <rPr>
        <sz val="10"/>
        <rFont val="Microsoft JhengHei"/>
        <family val="0"/>
        <charset val="1"/>
      </rPr>
      <t xml:space="preserve">N2|B_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高</t>
    </r>
    <r>
      <rPr>
        <sz val="10"/>
        <rFont val="Microsoft JhengHei"/>
        <family val="0"/>
        <charset val="1"/>
      </rPr>
      <t xml:space="preserve">|AA</t>
    </r>
  </si>
  <si>
    <r>
      <rPr>
        <sz val="10"/>
        <rFont val="Noto Sans CJK SC"/>
        <family val="2"/>
      </rPr>
      <t xml:space="preserve">言語知識這次表現很好，單字和文法都已經是你的強項了。這科可以直接用 </t>
    </r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的材料來練，不用再回頭做 </t>
    </r>
    <r>
      <rPr>
        <sz val="10"/>
        <rFont val="Microsoft JhengHei"/>
        <family val="0"/>
        <charset val="1"/>
      </rPr>
      <t xml:space="preserve">N2 </t>
    </r>
    <r>
      <rPr>
        <sz val="10"/>
        <rFont val="Noto Sans CJK SC"/>
        <family val="2"/>
      </rPr>
      <t xml:space="preserve">的東西。</t>
    </r>
  </si>
  <si>
    <r>
      <rPr>
        <sz val="10"/>
        <rFont val="Microsoft JhengHei"/>
        <family val="0"/>
        <charset val="1"/>
      </rPr>
      <t xml:space="preserve">N2|B_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高</t>
    </r>
    <r>
      <rPr>
        <sz val="10"/>
        <rFont val="Microsoft JhengHei"/>
        <family val="0"/>
        <charset val="1"/>
      </rPr>
      <t xml:space="preserve">|AB</t>
    </r>
  </si>
  <si>
    <r>
      <rPr>
        <sz val="10"/>
        <rFont val="Noto Sans CJK SC"/>
        <family val="2"/>
      </rPr>
      <t xml:space="preserve">言語知識這次表現很好，文法雖然還可以再更熟一點，但整體已經很穩了。往 </t>
    </r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的時候文語表現和高階句型會變多，可以先從 </t>
    </r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的文法開始接觸。</t>
    </r>
  </si>
  <si>
    <r>
      <rPr>
        <sz val="10"/>
        <rFont val="Microsoft JhengHei"/>
        <family val="0"/>
        <charset val="1"/>
      </rPr>
      <t xml:space="preserve">N2|B_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高</t>
    </r>
    <r>
      <rPr>
        <sz val="10"/>
        <rFont val="Microsoft JhengHei"/>
        <family val="0"/>
        <charset val="1"/>
      </rPr>
      <t xml:space="preserve">|BA</t>
    </r>
  </si>
  <si>
    <r>
      <rPr>
        <sz val="10"/>
        <rFont val="Noto Sans CJK SC"/>
        <family val="2"/>
      </rPr>
      <t xml:space="preserve">言語知識這次表現很好，單字雖然還可以再多累積，但整體已經很穩了。往 </t>
    </r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的時候抽象詞彙和書面語會變很多，可以先從 </t>
    </r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的單字開始累積。</t>
    </r>
  </si>
  <si>
    <r>
      <rPr>
        <sz val="10"/>
        <rFont val="Microsoft JhengHei"/>
        <family val="0"/>
        <charset val="1"/>
      </rPr>
      <t xml:space="preserve">N2|B_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其他</t>
    </r>
  </si>
  <si>
    <r>
      <rPr>
        <sz val="10"/>
        <rFont val="Noto Sans CJK SC"/>
        <family val="2"/>
      </rPr>
      <t xml:space="preserve">言語知識分數很好，不過單字或文法有一項看起來還不太穩，可能是這次剛好考到不熟的範圍，往 </t>
    </r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之前順手補一下就好。</t>
    </r>
  </si>
  <si>
    <r>
      <rPr>
        <sz val="10"/>
        <rFont val="Microsoft JhengHei"/>
        <family val="0"/>
        <charset val="1"/>
      </rPr>
      <t xml:space="preserve">N2|R_</t>
    </r>
    <r>
      <rPr>
        <sz val="10"/>
        <rFont val="Noto Sans CJK SC"/>
        <family val="2"/>
      </rPr>
      <t xml:space="preserve">讀解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未達</t>
    </r>
    <r>
      <rPr>
        <sz val="10"/>
        <rFont val="Microsoft JhengHei"/>
        <family val="0"/>
        <charset val="1"/>
      </rPr>
      <t xml:space="preserve">|-</t>
    </r>
  </si>
  <si>
    <t xml:space="preserve">讀解這科的分數比較低，還沒過線，可能是漢字語彙還不夠，讀到一半就卡住，或者作者的立場和邏輯不太好抓。建議可以先從短一點的論說文開始，讀完試著說出作者主張什麼、理由是什麼，再慢慢加長，幫助抓重點的感覺建立起來。</t>
  </si>
  <si>
    <r>
      <rPr>
        <sz val="10"/>
        <rFont val="Microsoft JhengHei"/>
        <family val="0"/>
        <charset val="1"/>
      </rPr>
      <t xml:space="preserve">N2|R_</t>
    </r>
    <r>
      <rPr>
        <sz val="10"/>
        <rFont val="Noto Sans CJK SC"/>
        <family val="2"/>
      </rPr>
      <t xml:space="preserve">讀解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偏低</t>
    </r>
    <r>
      <rPr>
        <sz val="10"/>
        <rFont val="Microsoft JhengHei"/>
        <family val="0"/>
        <charset val="1"/>
      </rPr>
      <t xml:space="preserve">|-</t>
    </r>
  </si>
  <si>
    <t xml:space="preserve">讀解有過線了，但分數還偏低，可能是長文讀得太慢，或者兩篇文章比較的題型不太好處理。建議固定練習長文，先抓段落結構再看細節，時間分配會好很多。</t>
  </si>
  <si>
    <r>
      <rPr>
        <sz val="10"/>
        <rFont val="Microsoft JhengHei"/>
        <family val="0"/>
        <charset val="1"/>
      </rPr>
      <t xml:space="preserve">N2|R_</t>
    </r>
    <r>
      <rPr>
        <sz val="10"/>
        <rFont val="Noto Sans CJK SC"/>
        <family val="2"/>
      </rPr>
      <t xml:space="preserve">讀解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中</t>
    </r>
    <r>
      <rPr>
        <sz val="10"/>
        <rFont val="Microsoft JhengHei"/>
        <family val="0"/>
        <charset val="1"/>
      </rPr>
      <t xml:space="preserve">|-</t>
    </r>
  </si>
  <si>
    <r>
      <rPr>
        <sz val="10"/>
        <rFont val="Noto Sans CJK SC"/>
        <family val="2"/>
      </rPr>
      <t xml:space="preserve">讀解這次表現蠻穩定的，</t>
    </r>
    <r>
      <rPr>
        <sz val="10"/>
        <rFont val="Microsoft JhengHei"/>
        <family val="0"/>
        <charset val="1"/>
      </rPr>
      <t xml:space="preserve">N2 </t>
    </r>
    <r>
      <rPr>
        <sz val="10"/>
        <rFont val="Noto Sans CJK SC"/>
        <family val="2"/>
      </rPr>
      <t xml:space="preserve">的長文已經讀得順了。可以開始讀日文的新聞、專欄或書籍，讓閱讀量慢慢往上疊，往 </t>
    </r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的抽象程度靠近會比較順。</t>
    </r>
  </si>
  <si>
    <r>
      <rPr>
        <sz val="10"/>
        <rFont val="Microsoft JhengHei"/>
        <family val="0"/>
        <charset val="1"/>
      </rPr>
      <t xml:space="preserve">N2|R_</t>
    </r>
    <r>
      <rPr>
        <sz val="10"/>
        <rFont val="Noto Sans CJK SC"/>
        <family val="2"/>
      </rPr>
      <t xml:space="preserve">讀解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高</t>
    </r>
    <r>
      <rPr>
        <sz val="10"/>
        <rFont val="Microsoft JhengHei"/>
        <family val="0"/>
        <charset val="1"/>
      </rPr>
      <t xml:space="preserve">|-</t>
    </r>
  </si>
  <si>
    <r>
      <rPr>
        <sz val="10"/>
        <rFont val="Noto Sans CJK SC"/>
        <family val="2"/>
      </rPr>
      <t xml:space="preserve">讀解這次表現很好，閱讀已經是你的強項了。這科可以直接用 </t>
    </r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的材料來練，試試看比較抽象、邏輯比較繞的文章。</t>
    </r>
  </si>
  <si>
    <r>
      <rPr>
        <sz val="10"/>
        <rFont val="Microsoft JhengHei"/>
        <family val="0"/>
        <charset val="1"/>
      </rPr>
      <t xml:space="preserve">N2|C_</t>
    </r>
    <r>
      <rPr>
        <sz val="10"/>
        <rFont val="Noto Sans CJK SC"/>
        <family val="2"/>
      </rPr>
      <t xml:space="preserve">聽解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未達</t>
    </r>
    <r>
      <rPr>
        <sz val="10"/>
        <rFont val="Microsoft JhengHei"/>
        <family val="0"/>
        <charset val="1"/>
      </rPr>
      <t xml:space="preserve">|-</t>
    </r>
  </si>
  <si>
    <r>
      <rPr>
        <sz val="10"/>
        <rFont val="Noto Sans CJK SC"/>
        <family val="2"/>
      </rPr>
      <t xml:space="preserve">聽力的分數比較低，還沒過線，可能是 </t>
    </r>
    <r>
      <rPr>
        <sz val="10"/>
        <rFont val="Microsoft JhengHei"/>
        <family val="0"/>
        <charset val="1"/>
      </rPr>
      <t xml:space="preserve">N2 </t>
    </r>
    <r>
      <rPr>
        <sz val="10"/>
        <rFont val="Noto Sans CJK SC"/>
        <family val="2"/>
      </rPr>
      <t xml:space="preserve">的聽解內容長、資訊也多，聽到後面前面就忘了，或者抓不到說話的人真正想表達的重點。建議可以先從短一點的獨白開始，聽完試著用一句話說出重點，再對照文字稿，幫助抓重點的感覺建立起來。</t>
    </r>
  </si>
  <si>
    <r>
      <rPr>
        <sz val="10"/>
        <rFont val="Microsoft JhengHei"/>
        <family val="0"/>
        <charset val="1"/>
      </rPr>
      <t xml:space="preserve">N2|C_</t>
    </r>
    <r>
      <rPr>
        <sz val="10"/>
        <rFont val="Noto Sans CJK SC"/>
        <family val="2"/>
      </rPr>
      <t xml:space="preserve">聽解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偏低</t>
    </r>
    <r>
      <rPr>
        <sz val="10"/>
        <rFont val="Microsoft JhengHei"/>
        <family val="0"/>
        <charset val="1"/>
      </rPr>
      <t xml:space="preserve">|-</t>
    </r>
  </si>
  <si>
    <t xml:space="preserve">你已經能聽懂不少內容了，是很好的開始！只是長段落的重點還不太好抓，或者說話的人換個說法就跟不上。建議多聽自然語速的素材，像是新聞或訪談，聽完先自己整理重點，再對照確認。</t>
  </si>
  <si>
    <r>
      <rPr>
        <sz val="10"/>
        <rFont val="Microsoft JhengHei"/>
        <family val="0"/>
        <charset val="1"/>
      </rPr>
      <t xml:space="preserve">N2|C_</t>
    </r>
    <r>
      <rPr>
        <sz val="10"/>
        <rFont val="Noto Sans CJK SC"/>
        <family val="2"/>
      </rPr>
      <t xml:space="preserve">聽解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中</t>
    </r>
    <r>
      <rPr>
        <sz val="10"/>
        <rFont val="Microsoft JhengHei"/>
        <family val="0"/>
        <charset val="1"/>
      </rPr>
      <t xml:space="preserve">|-</t>
    </r>
  </si>
  <si>
    <r>
      <rPr>
        <sz val="10"/>
        <rFont val="Noto Sans CJK SC"/>
        <family val="2"/>
      </rPr>
      <t xml:space="preserve">這次的聽力表現不錯，</t>
    </r>
    <r>
      <rPr>
        <sz val="10"/>
        <rFont val="Microsoft JhengHei"/>
        <family val="0"/>
        <charset val="1"/>
      </rPr>
      <t xml:space="preserve">N2 </t>
    </r>
    <r>
      <rPr>
        <sz val="10"/>
        <rFont val="Noto Sans CJK SC"/>
        <family val="2"/>
      </rPr>
      <t xml:space="preserve">的內容大部分都能掌握了。可以開始接觸日文的新聞、演講或討論節目，練習在資訊多的時候還能抓住重點，慢慢往 </t>
    </r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的聽力靠近。</t>
    </r>
  </si>
  <si>
    <r>
      <rPr>
        <sz val="10"/>
        <rFont val="Microsoft JhengHei"/>
        <family val="0"/>
        <charset val="1"/>
      </rPr>
      <t xml:space="preserve">N2|C_</t>
    </r>
    <r>
      <rPr>
        <sz val="10"/>
        <rFont val="Noto Sans CJK SC"/>
        <family val="2"/>
      </rPr>
      <t xml:space="preserve">聽解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高</t>
    </r>
    <r>
      <rPr>
        <sz val="10"/>
        <rFont val="Microsoft JhengHei"/>
        <family val="0"/>
        <charset val="1"/>
      </rPr>
      <t xml:space="preserve">|-</t>
    </r>
  </si>
  <si>
    <r>
      <rPr>
        <sz val="10"/>
        <rFont val="Noto Sans CJK SC"/>
        <family val="2"/>
      </rPr>
      <t xml:space="preserve">聽力是你的強項，</t>
    </r>
    <r>
      <rPr>
        <sz val="10"/>
        <rFont val="Microsoft JhengHei"/>
        <family val="0"/>
        <charset val="1"/>
      </rPr>
      <t xml:space="preserve">N2 </t>
    </r>
    <r>
      <rPr>
        <sz val="10"/>
        <rFont val="Noto Sans CJK SC"/>
        <family val="2"/>
      </rPr>
      <t xml:space="preserve">的聽解對你來說已經很穩了。可以直接接觸 </t>
    </r>
    <r>
      <rPr>
        <sz val="10"/>
        <rFont val="Microsoft JhengHei"/>
        <family val="0"/>
        <charset val="1"/>
      </rPr>
      <t xml:space="preserve">N1 </t>
    </r>
    <r>
      <rPr>
        <sz val="10"/>
        <rFont val="Noto Sans CJK SC"/>
        <family val="2"/>
      </rPr>
      <t xml:space="preserve">的聽力，試試看比較抽象的討論和多人對話，實力到哪裡很快就會知道。</t>
    </r>
  </si>
  <si>
    <r>
      <rPr>
        <sz val="10"/>
        <rFont val="Microsoft JhengHei"/>
        <family val="0"/>
        <charset val="1"/>
      </rPr>
      <t xml:space="preserve">N3|A_</t>
    </r>
    <r>
      <rPr>
        <sz val="10"/>
        <rFont val="Noto Sans CJK SC"/>
        <family val="2"/>
      </rPr>
      <t xml:space="preserve">總判定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單科未達</t>
    </r>
    <r>
      <rPr>
        <sz val="10"/>
        <rFont val="Microsoft JhengHei"/>
        <family val="0"/>
        <charset val="1"/>
      </rPr>
      <t xml:space="preserve">|-</t>
    </r>
  </si>
  <si>
    <r>
      <rPr>
        <sz val="10"/>
        <rFont val="Noto Sans CJK SC"/>
        <family val="2"/>
      </rPr>
      <t xml:space="preserve">總分≥</t>
    </r>
    <r>
      <rPr>
        <sz val="10"/>
        <rFont val="Microsoft JhengHei"/>
        <family val="0"/>
        <charset val="1"/>
      </rPr>
      <t xml:space="preserve">95 </t>
    </r>
    <r>
      <rPr>
        <sz val="10"/>
        <rFont val="Noto Sans CJK SC"/>
        <family val="2"/>
      </rPr>
      <t xml:space="preserve">但有一科未達門檻</t>
    </r>
  </si>
  <si>
    <r>
      <rPr>
        <sz val="10"/>
        <rFont val="Noto Sans CJK SC"/>
        <family val="2"/>
      </rPr>
      <t xml:space="preserve">現在先集中把那一科補起來，其他科維持住，</t>
    </r>
    <r>
      <rPr>
        <sz val="10"/>
        <rFont val="Microsoft JhengHei"/>
        <family val="0"/>
        <charset val="1"/>
      </rPr>
      <t xml:space="preserve">12 </t>
    </r>
    <r>
      <rPr>
        <sz val="10"/>
        <rFont val="Noto Sans CJK SC"/>
        <family val="2"/>
      </rPr>
      <t xml:space="preserve">月再考一次 </t>
    </r>
    <r>
      <rPr>
        <sz val="10"/>
        <rFont val="Microsoft JhengHei"/>
        <family val="0"/>
        <charset val="1"/>
      </rPr>
      <t xml:space="preserve">N3</t>
    </r>
    <r>
      <rPr>
        <sz val="10"/>
        <rFont val="Noto Sans CJK SC"/>
        <family val="2"/>
      </rPr>
      <t xml:space="preserve">，應該就能順利過了。</t>
    </r>
  </si>
  <si>
    <r>
      <rPr>
        <sz val="10"/>
        <rFont val="Microsoft JhengHei"/>
        <family val="0"/>
        <charset val="1"/>
      </rPr>
      <t xml:space="preserve">N3|A_</t>
    </r>
    <r>
      <rPr>
        <sz val="10"/>
        <rFont val="Noto Sans CJK SC"/>
        <family val="2"/>
      </rPr>
      <t xml:space="preserve">總判定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差</t>
    </r>
    <r>
      <rPr>
        <sz val="10"/>
        <rFont val="Microsoft JhengHei"/>
        <family val="0"/>
        <charset val="1"/>
      </rPr>
      <t xml:space="preserve">20+|-</t>
    </r>
  </si>
  <si>
    <r>
      <rPr>
        <sz val="10"/>
        <rFont val="Noto Sans CJK SC"/>
        <family val="2"/>
      </rPr>
      <t xml:space="preserve">總分 ≤ </t>
    </r>
    <r>
      <rPr>
        <sz val="10"/>
        <rFont val="Microsoft JhengHei"/>
        <family val="0"/>
        <charset val="1"/>
      </rPr>
      <t xml:space="preserve">75</t>
    </r>
    <r>
      <rPr>
        <sz val="10"/>
        <rFont val="Noto Sans CJK SC"/>
        <family val="2"/>
      </rPr>
      <t xml:space="preserve">（差 </t>
    </r>
    <r>
      <rPr>
        <sz val="10"/>
        <rFont val="Microsoft JhengHei"/>
        <family val="0"/>
        <charset val="1"/>
      </rPr>
      <t xml:space="preserve">20 </t>
    </r>
    <r>
      <rPr>
        <sz val="10"/>
        <rFont val="Noto Sans CJK SC"/>
        <family val="2"/>
      </rPr>
      <t xml:space="preserve">分以上）</t>
    </r>
  </si>
  <si>
    <r>
      <rPr>
        <sz val="10"/>
        <rFont val="Noto Sans CJK SC"/>
        <family val="2"/>
      </rPr>
      <t xml:space="preserve">你願意把成績交出來，這一步就很值得肯定。這次的分數離及格還有一段距離，表示 </t>
    </r>
    <r>
      <rPr>
        <sz val="10"/>
        <rFont val="Microsoft JhengHei"/>
        <family val="0"/>
        <charset val="1"/>
      </rPr>
      <t xml:space="preserve">N3 </t>
    </r>
    <r>
      <rPr>
        <sz val="10"/>
        <rFont val="Noto Sans CJK SC"/>
        <family val="2"/>
      </rPr>
      <t xml:space="preserve">的中級內容你還沒完全吸收進去。</t>
    </r>
  </si>
  <si>
    <r>
      <rPr>
        <sz val="10"/>
        <rFont val="Noto Sans CJK SC"/>
        <family val="2"/>
      </rPr>
      <t xml:space="preserve">現在先不要急，照上面的方向慢慢補，</t>
    </r>
    <r>
      <rPr>
        <sz val="10"/>
        <rFont val="Microsoft JhengHei"/>
        <family val="0"/>
        <charset val="1"/>
      </rPr>
      <t xml:space="preserve">12 </t>
    </r>
    <r>
      <rPr>
        <sz val="10"/>
        <rFont val="Noto Sans CJK SC"/>
        <family val="2"/>
      </rPr>
      <t xml:space="preserve">月再考一次 </t>
    </r>
    <r>
      <rPr>
        <sz val="10"/>
        <rFont val="Microsoft JhengHei"/>
        <family val="0"/>
        <charset val="1"/>
      </rPr>
      <t xml:space="preserve">N3</t>
    </r>
    <r>
      <rPr>
        <sz val="10"/>
        <rFont val="Noto Sans CJK SC"/>
        <family val="2"/>
      </rPr>
      <t xml:space="preserve">，會是比較實在的做法。</t>
    </r>
  </si>
  <si>
    <r>
      <rPr>
        <sz val="10"/>
        <rFont val="Microsoft JhengHei"/>
        <family val="0"/>
        <charset val="1"/>
      </rPr>
      <t xml:space="preserve">N3|A_</t>
    </r>
    <r>
      <rPr>
        <sz val="10"/>
        <rFont val="Noto Sans CJK SC"/>
        <family val="2"/>
      </rPr>
      <t xml:space="preserve">總判定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差</t>
    </r>
    <r>
      <rPr>
        <sz val="10"/>
        <rFont val="Microsoft JhengHei"/>
        <family val="0"/>
        <charset val="1"/>
      </rPr>
      <t xml:space="preserve">1-19|-</t>
    </r>
  </si>
  <si>
    <r>
      <rPr>
        <sz val="10"/>
        <rFont val="Noto Sans CJK SC"/>
        <family val="2"/>
      </rPr>
      <t xml:space="preserve">總分 </t>
    </r>
    <r>
      <rPr>
        <sz val="10"/>
        <rFont val="Microsoft JhengHei"/>
        <family val="0"/>
        <charset val="1"/>
      </rPr>
      <t xml:space="preserve">76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94</t>
    </r>
    <r>
      <rPr>
        <sz val="10"/>
        <rFont val="Noto Sans CJK SC"/>
        <family val="2"/>
      </rPr>
      <t xml:space="preserve">（差 </t>
    </r>
    <r>
      <rPr>
        <sz val="10"/>
        <rFont val="Microsoft JhengHei"/>
        <family val="0"/>
        <charset val="1"/>
      </rPr>
      <t xml:space="preserve">1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19 </t>
    </r>
    <r>
      <rPr>
        <sz val="10"/>
        <rFont val="Noto Sans CJK SC"/>
        <family val="2"/>
      </rPr>
      <t xml:space="preserve">分）</t>
    </r>
  </si>
  <si>
    <r>
      <rPr>
        <sz val="10"/>
        <rFont val="Noto Sans CJK SC"/>
        <family val="2"/>
      </rPr>
      <t xml:space="preserve">這次其實只差一點點就及格了，代表你 </t>
    </r>
    <r>
      <rPr>
        <sz val="10"/>
        <rFont val="Microsoft JhengHei"/>
        <family val="0"/>
        <charset val="1"/>
      </rPr>
      <t xml:space="preserve">N3 </t>
    </r>
    <r>
      <rPr>
        <sz val="10"/>
        <rFont val="Noto Sans CJK SC"/>
        <family val="2"/>
      </rPr>
      <t xml:space="preserve">的基礎已經有了，只是還不太穩。</t>
    </r>
  </si>
  <si>
    <r>
      <rPr>
        <sz val="10"/>
        <rFont val="Noto Sans CJK SC"/>
        <family val="2"/>
      </rPr>
      <t xml:space="preserve">這種差距通常再練一輪就跨得過去，照上面的方向補一補，</t>
    </r>
    <r>
      <rPr>
        <sz val="10"/>
        <rFont val="Microsoft JhengHei"/>
        <family val="0"/>
        <charset val="1"/>
      </rPr>
      <t xml:space="preserve">12 </t>
    </r>
    <r>
      <rPr>
        <sz val="10"/>
        <rFont val="Noto Sans CJK SC"/>
        <family val="2"/>
      </rPr>
      <t xml:space="preserve">月再考一次 </t>
    </r>
    <r>
      <rPr>
        <sz val="10"/>
        <rFont val="Microsoft JhengHei"/>
        <family val="0"/>
        <charset val="1"/>
      </rPr>
      <t xml:space="preserve">N3</t>
    </r>
    <r>
      <rPr>
        <sz val="10"/>
        <rFont val="Noto Sans CJK SC"/>
        <family val="2"/>
      </rPr>
      <t xml:space="preserve">，不用太擔心。</t>
    </r>
  </si>
  <si>
    <r>
      <rPr>
        <sz val="10"/>
        <rFont val="Microsoft JhengHei"/>
        <family val="0"/>
        <charset val="1"/>
      </rPr>
      <t xml:space="preserve">N3|A_</t>
    </r>
    <r>
      <rPr>
        <sz val="10"/>
        <rFont val="Noto Sans CJK SC"/>
        <family val="2"/>
      </rPr>
      <t xml:space="preserve">總判定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過</t>
    </r>
    <r>
      <rPr>
        <sz val="10"/>
        <rFont val="Microsoft JhengHei"/>
        <family val="0"/>
        <charset val="1"/>
      </rPr>
      <t xml:space="preserve">0-14|-</t>
    </r>
  </si>
  <si>
    <r>
      <rPr>
        <sz val="10"/>
        <rFont val="Noto Sans CJK SC"/>
        <family val="2"/>
      </rPr>
      <t xml:space="preserve">總分 </t>
    </r>
    <r>
      <rPr>
        <sz val="10"/>
        <rFont val="Microsoft JhengHei"/>
        <family val="0"/>
        <charset val="1"/>
      </rPr>
      <t xml:space="preserve">95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109</t>
    </r>
    <r>
      <rPr>
        <sz val="10"/>
        <rFont val="Noto Sans CJK SC"/>
        <family val="2"/>
      </rPr>
      <t xml:space="preserve">（合格，多 </t>
    </r>
    <r>
      <rPr>
        <sz val="10"/>
        <rFont val="Microsoft JhengHei"/>
        <family val="0"/>
        <charset val="1"/>
      </rPr>
      <t xml:space="preserve">0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14 </t>
    </r>
    <r>
      <rPr>
        <sz val="10"/>
        <rFont val="Noto Sans CJK SC"/>
        <family val="2"/>
      </rPr>
      <t xml:space="preserve">分）</t>
    </r>
  </si>
  <si>
    <r>
      <rPr>
        <sz val="10"/>
        <rFont val="Microsoft JhengHei"/>
        <family val="0"/>
        <charset val="1"/>
      </rPr>
      <t xml:space="preserve">N3 </t>
    </r>
    <r>
      <rPr>
        <sz val="10"/>
        <rFont val="Noto Sans CJK SC"/>
        <family val="2"/>
      </rPr>
      <t xml:space="preserve">可以再練深一點，</t>
    </r>
    <r>
      <rPr>
        <sz val="10"/>
        <rFont val="Microsoft JhengHei"/>
        <family val="0"/>
        <charset val="1"/>
      </rPr>
      <t xml:space="preserve">12 </t>
    </r>
    <r>
      <rPr>
        <sz val="10"/>
        <rFont val="Noto Sans CJK SC"/>
        <family val="2"/>
      </rPr>
      <t xml:space="preserve">月同級再考一次把分數考穩；如果想直接挑戰 </t>
    </r>
    <r>
      <rPr>
        <sz val="10"/>
        <rFont val="Microsoft JhengHei"/>
        <family val="0"/>
        <charset val="1"/>
      </rPr>
      <t xml:space="preserve">N2 </t>
    </r>
    <r>
      <rPr>
        <sz val="10"/>
        <rFont val="Noto Sans CJK SC"/>
        <family val="2"/>
      </rPr>
      <t xml:space="preserve">也可以，只是要有心理準備，這幾個月得下多一點功夫。</t>
    </r>
  </si>
  <si>
    <r>
      <rPr>
        <sz val="10"/>
        <rFont val="Microsoft JhengHei"/>
        <family val="0"/>
        <charset val="1"/>
      </rPr>
      <t xml:space="preserve">N3|A_</t>
    </r>
    <r>
      <rPr>
        <sz val="10"/>
        <rFont val="Noto Sans CJK SC"/>
        <family val="2"/>
      </rPr>
      <t xml:space="preserve">總判定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過</t>
    </r>
    <r>
      <rPr>
        <sz val="10"/>
        <rFont val="Microsoft JhengHei"/>
        <family val="0"/>
        <charset val="1"/>
      </rPr>
      <t xml:space="preserve">15-39|-</t>
    </r>
  </si>
  <si>
    <r>
      <rPr>
        <sz val="10"/>
        <rFont val="Noto Sans CJK SC"/>
        <family val="2"/>
      </rPr>
      <t xml:space="preserve">總分 </t>
    </r>
    <r>
      <rPr>
        <sz val="10"/>
        <rFont val="Microsoft JhengHei"/>
        <family val="0"/>
        <charset val="1"/>
      </rPr>
      <t xml:space="preserve">110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134</t>
    </r>
    <r>
      <rPr>
        <sz val="10"/>
        <rFont val="Noto Sans CJK SC"/>
        <family val="2"/>
      </rPr>
      <t xml:space="preserve">（合格，多 </t>
    </r>
    <r>
      <rPr>
        <sz val="10"/>
        <rFont val="Microsoft JhengHei"/>
        <family val="0"/>
        <charset val="1"/>
      </rPr>
      <t xml:space="preserve">15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39 </t>
    </r>
    <r>
      <rPr>
        <sz val="10"/>
        <rFont val="Noto Sans CJK SC"/>
        <family val="2"/>
      </rPr>
      <t xml:space="preserve">分）</t>
    </r>
  </si>
  <si>
    <r>
      <rPr>
        <sz val="10"/>
        <rFont val="Noto Sans CJK SC"/>
        <family val="2"/>
      </rPr>
      <t xml:space="preserve">恭喜合格！而且是穩穩地過，</t>
    </r>
    <r>
      <rPr>
        <sz val="10"/>
        <rFont val="Microsoft JhengHei"/>
        <family val="0"/>
        <charset val="1"/>
      </rPr>
      <t xml:space="preserve">N3 </t>
    </r>
    <r>
      <rPr>
        <sz val="10"/>
        <rFont val="Noto Sans CJK SC"/>
        <family val="2"/>
      </rPr>
      <t xml:space="preserve">的內容已經掌握得不錯了。</t>
    </r>
  </si>
  <si>
    <r>
      <rPr>
        <sz val="10"/>
        <rFont val="Noto Sans CJK SC"/>
        <family val="2"/>
      </rPr>
      <t xml:space="preserve">現在可以開始慢慢接觸 </t>
    </r>
    <r>
      <rPr>
        <sz val="10"/>
        <rFont val="Microsoft JhengHei"/>
        <family val="0"/>
        <charset val="1"/>
      </rPr>
      <t xml:space="preserve">N2 </t>
    </r>
    <r>
      <rPr>
        <sz val="10"/>
        <rFont val="Noto Sans CJK SC"/>
        <family val="2"/>
      </rPr>
      <t xml:space="preserve">的內容，</t>
    </r>
    <r>
      <rPr>
        <sz val="10"/>
        <rFont val="Microsoft JhengHei"/>
        <family val="0"/>
        <charset val="1"/>
      </rPr>
      <t xml:space="preserve">12 </t>
    </r>
    <r>
      <rPr>
        <sz val="10"/>
        <rFont val="Noto Sans CJK SC"/>
        <family val="2"/>
      </rPr>
      <t xml:space="preserve">月直接報 </t>
    </r>
    <r>
      <rPr>
        <sz val="10"/>
        <rFont val="Microsoft JhengHei"/>
        <family val="0"/>
        <charset val="1"/>
      </rPr>
      <t xml:space="preserve">N2</t>
    </r>
    <r>
      <rPr>
        <sz val="10"/>
        <rFont val="Noto Sans CJK SC"/>
        <family val="2"/>
      </rPr>
      <t xml:space="preserve">，時間剛剛好。</t>
    </r>
  </si>
  <si>
    <r>
      <rPr>
        <sz val="10"/>
        <rFont val="Microsoft JhengHei"/>
        <family val="0"/>
        <charset val="1"/>
      </rPr>
      <t xml:space="preserve">N3|A_</t>
    </r>
    <r>
      <rPr>
        <sz val="10"/>
        <rFont val="Noto Sans CJK SC"/>
        <family val="2"/>
      </rPr>
      <t xml:space="preserve">總判定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過</t>
    </r>
    <r>
      <rPr>
        <sz val="10"/>
        <rFont val="Microsoft JhengHei"/>
        <family val="0"/>
        <charset val="1"/>
      </rPr>
      <t xml:space="preserve">40+|-</t>
    </r>
  </si>
  <si>
    <r>
      <rPr>
        <sz val="10"/>
        <rFont val="Noto Sans CJK SC"/>
        <family val="2"/>
      </rPr>
      <t xml:space="preserve">總分 ≥ </t>
    </r>
    <r>
      <rPr>
        <sz val="10"/>
        <rFont val="Microsoft JhengHei"/>
        <family val="0"/>
        <charset val="1"/>
      </rPr>
      <t xml:space="preserve">135</t>
    </r>
    <r>
      <rPr>
        <sz val="10"/>
        <rFont val="Noto Sans CJK SC"/>
        <family val="2"/>
      </rPr>
      <t xml:space="preserve">（合格，多 </t>
    </r>
    <r>
      <rPr>
        <sz val="10"/>
        <rFont val="Microsoft JhengHei"/>
        <family val="0"/>
        <charset val="1"/>
      </rPr>
      <t xml:space="preserve">40 </t>
    </r>
    <r>
      <rPr>
        <sz val="10"/>
        <rFont val="Noto Sans CJK SC"/>
        <family val="2"/>
      </rPr>
      <t xml:space="preserve">分以上）</t>
    </r>
  </si>
  <si>
    <r>
      <rPr>
        <sz val="10"/>
        <rFont val="Noto Sans CJK SC"/>
        <family val="2"/>
      </rPr>
      <t xml:space="preserve">恭喜，這次的成績很不錯，</t>
    </r>
    <r>
      <rPr>
        <sz val="10"/>
        <rFont val="Microsoft JhengHei"/>
        <family val="0"/>
        <charset val="1"/>
      </rPr>
      <t xml:space="preserve">N3 </t>
    </r>
    <r>
      <rPr>
        <sz val="10"/>
        <rFont val="Noto Sans CJK SC"/>
        <family val="2"/>
      </rPr>
      <t xml:space="preserve">對你來說已經沒什麼問題了。</t>
    </r>
  </si>
  <si>
    <r>
      <rPr>
        <sz val="10"/>
        <rFont val="Microsoft JhengHei"/>
        <family val="0"/>
        <charset val="1"/>
      </rPr>
      <t xml:space="preserve">12 </t>
    </r>
    <r>
      <rPr>
        <sz val="10"/>
        <rFont val="Noto Sans CJK SC"/>
        <family val="2"/>
      </rPr>
      <t xml:space="preserve">月直接報 </t>
    </r>
    <r>
      <rPr>
        <sz val="10"/>
        <rFont val="Microsoft JhengHei"/>
        <family val="0"/>
        <charset val="1"/>
      </rPr>
      <t xml:space="preserve">N2</t>
    </r>
    <r>
      <rPr>
        <sz val="10"/>
        <rFont val="Noto Sans CJK SC"/>
        <family val="2"/>
      </rPr>
      <t xml:space="preserve">，以你現在的程度，準備起來會很順的。</t>
    </r>
  </si>
  <si>
    <r>
      <rPr>
        <sz val="10"/>
        <rFont val="Microsoft JhengHei"/>
        <family val="0"/>
        <charset val="1"/>
      </rPr>
      <t xml:space="preserve">N3|B_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未達</t>
    </r>
    <r>
      <rPr>
        <sz val="10"/>
        <rFont val="Microsoft JhengHei"/>
        <family val="0"/>
        <charset val="1"/>
      </rPr>
      <t xml:space="preserve">|AA</t>
    </r>
  </si>
  <si>
    <r>
      <rPr>
        <sz val="10"/>
        <rFont val="Microsoft JhengHei"/>
        <family val="0"/>
        <charset val="1"/>
      </rPr>
      <t xml:space="preserve">N3|B_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未達</t>
    </r>
    <r>
      <rPr>
        <sz val="10"/>
        <rFont val="Microsoft JhengHei"/>
        <family val="0"/>
        <charset val="1"/>
      </rPr>
      <t xml:space="preserve">|AB</t>
    </r>
  </si>
  <si>
    <r>
      <rPr>
        <sz val="10"/>
        <rFont val="Noto Sans CJK SC"/>
        <family val="2"/>
      </rPr>
      <t xml:space="preserve">言語知識這科的分數比較低，還沒過線，單字的部分你掌握得不錯，文法比較弱一些，</t>
    </r>
    <r>
      <rPr>
        <sz val="10"/>
        <rFont val="Microsoft JhengHei"/>
        <family val="0"/>
        <charset val="1"/>
      </rPr>
      <t xml:space="preserve">N3 </t>
    </r>
    <r>
      <rPr>
        <sz val="10"/>
        <rFont val="Noto Sans CJK SC"/>
        <family val="2"/>
      </rPr>
      <t xml:space="preserve">的接續句型一多可能就有點混。建議可以把中級句型按意思分類整理，像是條件、變化、推測這幾組，每組多看例句，句型看熟了，這科的分數會慢慢回來。</t>
    </r>
  </si>
  <si>
    <r>
      <rPr>
        <sz val="10"/>
        <rFont val="Microsoft JhengHei"/>
        <family val="0"/>
        <charset val="1"/>
      </rPr>
      <t xml:space="preserve">N3|B_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未達</t>
    </r>
    <r>
      <rPr>
        <sz val="10"/>
        <rFont val="Microsoft JhengHei"/>
        <family val="0"/>
        <charset val="1"/>
      </rPr>
      <t xml:space="preserve">|BA</t>
    </r>
  </si>
  <si>
    <r>
      <rPr>
        <sz val="10"/>
        <rFont val="Noto Sans CJK SC"/>
        <family val="2"/>
      </rPr>
      <t xml:space="preserve">言語知識這科的分數比較低，還沒過線，文法的部分掌握得還可以，單字比較弱一些，</t>
    </r>
    <r>
      <rPr>
        <sz val="10"/>
        <rFont val="Microsoft JhengHei"/>
        <family val="0"/>
        <charset val="1"/>
      </rPr>
      <t xml:space="preserve">N3 </t>
    </r>
    <r>
      <rPr>
        <sz val="10"/>
        <rFont val="Noto Sans CJK SC"/>
        <family val="2"/>
      </rPr>
      <t xml:space="preserve">的漢字詞一下多了很多，字認不出來就不好作答。建議可以每天固定背一小批，把漢字的讀音和意思一起記，字認得多了，這科的分數會慢慢回來。</t>
    </r>
  </si>
  <si>
    <r>
      <rPr>
        <sz val="10"/>
        <rFont val="Microsoft JhengHei"/>
        <family val="0"/>
        <charset val="1"/>
      </rPr>
      <t xml:space="preserve">N3|B_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未達</t>
    </r>
    <r>
      <rPr>
        <sz val="10"/>
        <rFont val="Microsoft JhengHei"/>
        <family val="0"/>
        <charset val="1"/>
      </rPr>
      <t xml:space="preserve">|BB</t>
    </r>
  </si>
  <si>
    <r>
      <rPr>
        <sz val="10"/>
        <rFont val="Noto Sans CJK SC"/>
        <family val="2"/>
      </rPr>
      <t xml:space="preserve">言語知識這科的分數比較低，還沒過線，表示你對</t>
    </r>
    <r>
      <rPr>
        <sz val="10"/>
        <rFont val="Microsoft JhengHei"/>
        <family val="0"/>
        <charset val="1"/>
      </rPr>
      <t xml:space="preserve">N3 </t>
    </r>
    <r>
      <rPr>
        <sz val="10"/>
        <rFont val="Noto Sans CJK SC"/>
        <family val="2"/>
      </rPr>
      <t xml:space="preserve">的單字和句型都還沒那麼熟練。建議先把</t>
    </r>
    <r>
      <rPr>
        <sz val="10"/>
        <rFont val="Microsoft JhengHei"/>
        <family val="0"/>
        <charset val="1"/>
      </rPr>
      <t xml:space="preserve">N3 </t>
    </r>
    <r>
      <rPr>
        <sz val="10"/>
        <rFont val="Noto Sans CJK SC"/>
        <family val="2"/>
      </rPr>
      <t xml:space="preserve">的單字和句型完整複習一輪，再做題目，分數會慢慢回來。</t>
    </r>
  </si>
  <si>
    <r>
      <rPr>
        <sz val="10"/>
        <rFont val="Microsoft JhengHei"/>
        <family val="0"/>
        <charset val="1"/>
      </rPr>
      <t xml:space="preserve">N3|B_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未達</t>
    </r>
    <r>
      <rPr>
        <sz val="10"/>
        <rFont val="Microsoft JhengHei"/>
        <family val="0"/>
        <charset val="1"/>
      </rPr>
      <t xml:space="preserve">|C1</t>
    </r>
  </si>
  <si>
    <r>
      <rPr>
        <sz val="10"/>
        <rFont val="Noto Sans CJK SC"/>
        <family val="2"/>
      </rPr>
      <t xml:space="preserve">言語知識這科的分數比較低，還沒過線，〇〇這塊明顯還不太熟，分數主要是被這裡拉下來的。建議先不要急著做題目，回到課本把 </t>
    </r>
    <r>
      <rPr>
        <sz val="10"/>
        <rFont val="Microsoft JhengHei"/>
        <family val="0"/>
        <charset val="1"/>
      </rPr>
      <t xml:space="preserve">N3 </t>
    </r>
    <r>
      <rPr>
        <sz val="10"/>
        <rFont val="Noto Sans CJK SC"/>
        <family val="2"/>
      </rPr>
      <t xml:space="preserve">的〇〇確實學過一遍，會是比較實在的做法。</t>
    </r>
  </si>
  <si>
    <r>
      <rPr>
        <sz val="10"/>
        <rFont val="Microsoft JhengHei"/>
        <family val="0"/>
        <charset val="1"/>
      </rPr>
      <t xml:space="preserve">N3|B_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未達</t>
    </r>
    <r>
      <rPr>
        <sz val="10"/>
        <rFont val="Microsoft JhengHei"/>
        <family val="0"/>
        <charset val="1"/>
      </rPr>
      <t xml:space="preserve">|CC</t>
    </r>
  </si>
  <si>
    <r>
      <rPr>
        <sz val="10"/>
        <rFont val="Noto Sans CJK SC"/>
        <family val="2"/>
      </rPr>
      <t xml:space="preserve">言語知識這科的分數比較低，還沒過線，單字和文法都還沒那麼熟，表示從 </t>
    </r>
    <r>
      <rPr>
        <sz val="10"/>
        <rFont val="Microsoft JhengHei"/>
        <family val="0"/>
        <charset val="1"/>
      </rPr>
      <t xml:space="preserve">N4 </t>
    </r>
    <r>
      <rPr>
        <sz val="10"/>
        <rFont val="Noto Sans CJK SC"/>
        <family val="2"/>
      </rPr>
      <t xml:space="preserve">跨到 </t>
    </r>
    <r>
      <rPr>
        <sz val="10"/>
        <rFont val="Microsoft JhengHei"/>
        <family val="0"/>
        <charset val="1"/>
      </rPr>
      <t xml:space="preserve">N3 </t>
    </r>
    <r>
      <rPr>
        <sz val="10"/>
        <rFont val="Noto Sans CJK SC"/>
        <family val="2"/>
      </rPr>
      <t xml:space="preserve">的內容還沒真正吸收進去。建議先回到課本從頭把內容確實學一遍，不用急著做題目，慢慢把底打穩。</t>
    </r>
  </si>
  <si>
    <r>
      <rPr>
        <sz val="10"/>
        <rFont val="Microsoft JhengHei"/>
        <family val="0"/>
        <charset val="1"/>
      </rPr>
      <t xml:space="preserve">N3|B_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偏低</t>
    </r>
    <r>
      <rPr>
        <sz val="10"/>
        <rFont val="Microsoft JhengHei"/>
        <family val="0"/>
        <charset val="1"/>
      </rPr>
      <t xml:space="preserve">|AA</t>
    </r>
  </si>
  <si>
    <r>
      <rPr>
        <sz val="10"/>
        <rFont val="Microsoft JhengHei"/>
        <family val="0"/>
        <charset val="1"/>
      </rPr>
      <t xml:space="preserve">N3|B_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偏低</t>
    </r>
    <r>
      <rPr>
        <sz val="10"/>
        <rFont val="Microsoft JhengHei"/>
        <family val="0"/>
        <charset val="1"/>
      </rPr>
      <t xml:space="preserve">|AB</t>
    </r>
  </si>
  <si>
    <r>
      <rPr>
        <sz val="10"/>
        <rFont val="Microsoft JhengHei"/>
        <family val="0"/>
        <charset val="1"/>
      </rPr>
      <t xml:space="preserve">N3|B_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偏低</t>
    </r>
    <r>
      <rPr>
        <sz val="10"/>
        <rFont val="Microsoft JhengHei"/>
        <family val="0"/>
        <charset val="1"/>
      </rPr>
      <t xml:space="preserve">|BA</t>
    </r>
  </si>
  <si>
    <t xml:space="preserve">言語知識有過線了，但分數還偏低，文法掌握得不錯，單字還有些地方不太穩，句型看得懂但字認不出來。建議可以每天固定背一小批，把漢字的讀音和意思一起記，不要只記中文意思，會比較記得住。</t>
  </si>
  <si>
    <r>
      <rPr>
        <sz val="10"/>
        <rFont val="Microsoft JhengHei"/>
        <family val="0"/>
        <charset val="1"/>
      </rPr>
      <t xml:space="preserve">N3|B_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偏低</t>
    </r>
    <r>
      <rPr>
        <sz val="10"/>
        <rFont val="Microsoft JhengHei"/>
        <family val="0"/>
        <charset val="1"/>
      </rPr>
      <t xml:space="preserve">|BB</t>
    </r>
  </si>
  <si>
    <r>
      <rPr>
        <sz val="10"/>
        <rFont val="Noto Sans CJK SC"/>
        <family val="2"/>
      </rPr>
      <t xml:space="preserve">言語知識有過線了，但分數還偏低，代表你有一些基礎了，文法和單字都有一定掌握，但都還不夠熟，可能是練習量還不太夠。建議先把 </t>
    </r>
    <r>
      <rPr>
        <sz val="10"/>
        <rFont val="Microsoft JhengHei"/>
        <family val="0"/>
        <charset val="1"/>
      </rPr>
      <t xml:space="preserve">N3 </t>
    </r>
    <r>
      <rPr>
        <sz val="10"/>
        <rFont val="Noto Sans CJK SC"/>
        <family val="2"/>
      </rPr>
      <t xml:space="preserve">的教材完整複習一輪，再開始做題，幫助細節穩下來。</t>
    </r>
  </si>
  <si>
    <r>
      <rPr>
        <sz val="10"/>
        <rFont val="Microsoft JhengHei"/>
        <family val="0"/>
        <charset val="1"/>
      </rPr>
      <t xml:space="preserve">N3|B_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偏低</t>
    </r>
    <r>
      <rPr>
        <sz val="10"/>
        <rFont val="Microsoft JhengHei"/>
        <family val="0"/>
        <charset val="1"/>
      </rPr>
      <t xml:space="preserve">|C1</t>
    </r>
  </si>
  <si>
    <r>
      <rPr>
        <sz val="10"/>
        <rFont val="Noto Sans CJK SC"/>
        <family val="2"/>
      </rPr>
      <t xml:space="preserve">言語知識有過線了，但〇〇這塊明顯還不太熟，分數主要是被這裡拉下來的。建議先集中把 </t>
    </r>
    <r>
      <rPr>
        <sz val="10"/>
        <rFont val="Microsoft JhengHei"/>
        <family val="0"/>
        <charset val="1"/>
      </rPr>
      <t xml:space="preserve">N3 </t>
    </r>
    <r>
      <rPr>
        <sz val="10"/>
        <rFont val="Noto Sans CJK SC"/>
        <family val="2"/>
      </rPr>
      <t xml:space="preserve">的〇〇補起來，這科的分數會有感地往上。</t>
    </r>
  </si>
  <si>
    <r>
      <rPr>
        <sz val="10"/>
        <rFont val="Microsoft JhengHei"/>
        <family val="0"/>
        <charset val="1"/>
      </rPr>
      <t xml:space="preserve">N3|B_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偏低</t>
    </r>
    <r>
      <rPr>
        <sz val="10"/>
        <rFont val="Microsoft JhengHei"/>
        <family val="0"/>
        <charset val="1"/>
      </rPr>
      <t xml:space="preserve">|CC</t>
    </r>
  </si>
  <si>
    <r>
      <rPr>
        <sz val="10"/>
        <rFont val="Noto Sans CJK SC"/>
        <family val="2"/>
      </rPr>
      <t xml:space="preserve">言語知識有過線了，但分數還偏低，單字和文法都還不太熟，這種情況比較少見，可能是考試當天狀況特別不好。建議先回到課本把 </t>
    </r>
    <r>
      <rPr>
        <sz val="10"/>
        <rFont val="Microsoft JhengHei"/>
        <family val="0"/>
        <charset val="1"/>
      </rPr>
      <t xml:space="preserve">N3 </t>
    </r>
    <r>
      <rPr>
        <sz val="10"/>
        <rFont val="Noto Sans CJK SC"/>
        <family val="2"/>
      </rPr>
      <t xml:space="preserve">的單字和文法確實補一輪，再做幾回模擬題確認狀況。</t>
    </r>
  </si>
  <si>
    <r>
      <rPr>
        <sz val="10"/>
        <rFont val="Microsoft JhengHei"/>
        <family val="0"/>
        <charset val="1"/>
      </rPr>
      <t xml:space="preserve">N3|B_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中</t>
    </r>
    <r>
      <rPr>
        <sz val="10"/>
        <rFont val="Microsoft JhengHei"/>
        <family val="0"/>
        <charset val="1"/>
      </rPr>
      <t xml:space="preserve">|AA</t>
    </r>
  </si>
  <si>
    <r>
      <rPr>
        <sz val="10"/>
        <rFont val="Noto Sans CJK SC"/>
        <family val="2"/>
      </rPr>
      <t xml:space="preserve">言語知識這次表現蠻穩定的，單字和文法都掌握得不錯，基礎應該已經打得很穩。慢慢接觸 </t>
    </r>
    <r>
      <rPr>
        <sz val="10"/>
        <rFont val="Microsoft JhengHei"/>
        <family val="0"/>
        <charset val="1"/>
      </rPr>
      <t xml:space="preserve">N2 </t>
    </r>
    <r>
      <rPr>
        <sz val="10"/>
        <rFont val="Noto Sans CJK SC"/>
        <family val="2"/>
      </rPr>
      <t xml:space="preserve">的內容會是個好時機。</t>
    </r>
  </si>
  <si>
    <r>
      <rPr>
        <sz val="10"/>
        <rFont val="Microsoft JhengHei"/>
        <family val="0"/>
        <charset val="1"/>
      </rPr>
      <t xml:space="preserve">N3|B_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中</t>
    </r>
    <r>
      <rPr>
        <sz val="10"/>
        <rFont val="Microsoft JhengHei"/>
        <family val="0"/>
        <charset val="1"/>
      </rPr>
      <t xml:space="preserve">|AB</t>
    </r>
  </si>
  <si>
    <r>
      <rPr>
        <sz val="10"/>
        <rFont val="Noto Sans CJK SC"/>
        <family val="2"/>
      </rPr>
      <t xml:space="preserve">言語知識這次表現蠻穩定的，單字沒什麼問題，文法還可以再練練。可以把常錯的句型整理起來再練一輪，同時慢慢接觸 </t>
    </r>
    <r>
      <rPr>
        <sz val="10"/>
        <rFont val="Microsoft JhengHei"/>
        <family val="0"/>
        <charset val="1"/>
      </rPr>
      <t xml:space="preserve">N2 </t>
    </r>
    <r>
      <rPr>
        <sz val="10"/>
        <rFont val="Noto Sans CJK SC"/>
        <family val="2"/>
      </rPr>
      <t xml:space="preserve">的文法，往上會比較順。</t>
    </r>
  </si>
  <si>
    <r>
      <rPr>
        <sz val="10"/>
        <rFont val="Microsoft JhengHei"/>
        <family val="0"/>
        <charset val="1"/>
      </rPr>
      <t xml:space="preserve">N3|B_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中</t>
    </r>
    <r>
      <rPr>
        <sz val="10"/>
        <rFont val="Microsoft JhengHei"/>
        <family val="0"/>
        <charset val="1"/>
      </rPr>
      <t xml:space="preserve">|BA</t>
    </r>
  </si>
  <si>
    <r>
      <rPr>
        <sz val="10"/>
        <rFont val="Noto Sans CJK SC"/>
        <family val="2"/>
      </rPr>
      <t xml:space="preserve">言語知識這次表現蠻穩定的，文法沒什麼問題，單字還可以再多累積一些。可以趁這段時間把單字量往上拉，</t>
    </r>
    <r>
      <rPr>
        <sz val="10"/>
        <rFont val="Microsoft JhengHei"/>
        <family val="0"/>
        <charset val="1"/>
      </rPr>
      <t xml:space="preserve">N2 </t>
    </r>
    <r>
      <rPr>
        <sz val="10"/>
        <rFont val="Noto Sans CJK SC"/>
        <family val="2"/>
      </rPr>
      <t xml:space="preserve">的單字會多很多，現在先累積會比較輕鬆。</t>
    </r>
  </si>
  <si>
    <r>
      <rPr>
        <sz val="10"/>
        <rFont val="Microsoft JhengHei"/>
        <family val="0"/>
        <charset val="1"/>
      </rPr>
      <t xml:space="preserve">N3|B_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中</t>
    </r>
    <r>
      <rPr>
        <sz val="10"/>
        <rFont val="Microsoft JhengHei"/>
        <family val="0"/>
        <charset val="1"/>
      </rPr>
      <t xml:space="preserve">|BB</t>
    </r>
  </si>
  <si>
    <r>
      <rPr>
        <sz val="10"/>
        <rFont val="Noto Sans CJK SC"/>
        <family val="2"/>
      </rPr>
      <t xml:space="preserve">言語知識這次表現蠻穩定的，不過單字和文法都還可以再練深一點，分數應該是靠整體語感撐起來的。建議把 </t>
    </r>
    <r>
      <rPr>
        <sz val="10"/>
        <rFont val="Microsoft JhengHei"/>
        <family val="0"/>
        <charset val="1"/>
      </rPr>
      <t xml:space="preserve">N3 </t>
    </r>
    <r>
      <rPr>
        <sz val="10"/>
        <rFont val="Noto Sans CJK SC"/>
        <family val="2"/>
      </rPr>
      <t xml:space="preserve">的基礎再過一輪，細節扎實了，往 </t>
    </r>
    <r>
      <rPr>
        <sz val="10"/>
        <rFont val="Microsoft JhengHei"/>
        <family val="0"/>
        <charset val="1"/>
      </rPr>
      <t xml:space="preserve">N2 </t>
    </r>
    <r>
      <rPr>
        <sz val="10"/>
        <rFont val="Noto Sans CJK SC"/>
        <family val="2"/>
      </rPr>
      <t xml:space="preserve">會比較踏實。</t>
    </r>
  </si>
  <si>
    <r>
      <rPr>
        <sz val="10"/>
        <rFont val="Microsoft JhengHei"/>
        <family val="0"/>
        <charset val="1"/>
      </rPr>
      <t xml:space="preserve">N3|B_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中</t>
    </r>
    <r>
      <rPr>
        <sz val="10"/>
        <rFont val="Microsoft JhengHei"/>
        <family val="0"/>
        <charset val="1"/>
      </rPr>
      <t xml:space="preserve">|C1</t>
    </r>
  </si>
  <si>
    <r>
      <rPr>
        <sz val="10"/>
        <rFont val="Noto Sans CJK SC"/>
        <family val="2"/>
      </rPr>
      <t xml:space="preserve">言語知識整體表現不錯，不過〇〇這塊有點意外地弱，可能是這次剛好考到不熟的範圍。往 </t>
    </r>
    <r>
      <rPr>
        <sz val="10"/>
        <rFont val="Microsoft JhengHei"/>
        <family val="0"/>
        <charset val="1"/>
      </rPr>
      <t xml:space="preserve">N2 </t>
    </r>
    <r>
      <rPr>
        <sz val="10"/>
        <rFont val="Noto Sans CJK SC"/>
        <family val="2"/>
      </rPr>
      <t xml:space="preserve">之前先把〇〇補一補，上去會比較輕鬆。</t>
    </r>
  </si>
  <si>
    <r>
      <rPr>
        <sz val="10"/>
        <rFont val="Microsoft JhengHei"/>
        <family val="0"/>
        <charset val="1"/>
      </rPr>
      <t xml:space="preserve">N3|B_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中</t>
    </r>
    <r>
      <rPr>
        <sz val="10"/>
        <rFont val="Microsoft JhengHei"/>
        <family val="0"/>
        <charset val="1"/>
      </rPr>
      <t xml:space="preserve">|CC</t>
    </r>
  </si>
  <si>
    <r>
      <rPr>
        <sz val="10"/>
        <rFont val="Noto Sans CJK SC"/>
        <family val="2"/>
      </rPr>
      <t xml:space="preserve">言語知識整體分數不錯，不過單字和文法都還不太熟，這種情況比較少見。往 </t>
    </r>
    <r>
      <rPr>
        <sz val="10"/>
        <rFont val="Microsoft JhengHei"/>
        <family val="0"/>
        <charset val="1"/>
      </rPr>
      <t xml:space="preserve">N2 </t>
    </r>
    <r>
      <rPr>
        <sz val="10"/>
        <rFont val="Noto Sans CJK SC"/>
        <family val="2"/>
      </rPr>
      <t xml:space="preserve">之前先把單字和文法補起來，會走得比較穩。</t>
    </r>
  </si>
  <si>
    <r>
      <rPr>
        <sz val="10"/>
        <rFont val="Microsoft JhengHei"/>
        <family val="0"/>
        <charset val="1"/>
      </rPr>
      <t xml:space="preserve">N3|B_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高</t>
    </r>
    <r>
      <rPr>
        <sz val="10"/>
        <rFont val="Microsoft JhengHei"/>
        <family val="0"/>
        <charset val="1"/>
      </rPr>
      <t xml:space="preserve">|AA</t>
    </r>
  </si>
  <si>
    <r>
      <rPr>
        <sz val="10"/>
        <rFont val="Noto Sans CJK SC"/>
        <family val="2"/>
      </rPr>
      <t xml:space="preserve">言語知識這次表現很好，單字和文法都已經是你的強項了。這科可以直接用 </t>
    </r>
    <r>
      <rPr>
        <sz val="10"/>
        <rFont val="Microsoft JhengHei"/>
        <family val="0"/>
        <charset val="1"/>
      </rPr>
      <t xml:space="preserve">N2 </t>
    </r>
    <r>
      <rPr>
        <sz val="10"/>
        <rFont val="Noto Sans CJK SC"/>
        <family val="2"/>
      </rPr>
      <t xml:space="preserve">的材料來練，不用再回頭做 </t>
    </r>
    <r>
      <rPr>
        <sz val="10"/>
        <rFont val="Microsoft JhengHei"/>
        <family val="0"/>
        <charset val="1"/>
      </rPr>
      <t xml:space="preserve">N3 </t>
    </r>
    <r>
      <rPr>
        <sz val="10"/>
        <rFont val="Noto Sans CJK SC"/>
        <family val="2"/>
      </rPr>
      <t xml:space="preserve">的東西。</t>
    </r>
  </si>
  <si>
    <r>
      <rPr>
        <sz val="10"/>
        <rFont val="Microsoft JhengHei"/>
        <family val="0"/>
        <charset val="1"/>
      </rPr>
      <t xml:space="preserve">N3|B_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高</t>
    </r>
    <r>
      <rPr>
        <sz val="10"/>
        <rFont val="Microsoft JhengHei"/>
        <family val="0"/>
        <charset val="1"/>
      </rPr>
      <t xml:space="preserve">|AB</t>
    </r>
  </si>
  <si>
    <r>
      <rPr>
        <sz val="10"/>
        <rFont val="Noto Sans CJK SC"/>
        <family val="2"/>
      </rPr>
      <t xml:space="preserve">言語知識這次表現很好，文法雖然還可以再更熟一點，但整體已經很穩了。往 </t>
    </r>
    <r>
      <rPr>
        <sz val="10"/>
        <rFont val="Microsoft JhengHei"/>
        <family val="0"/>
        <charset val="1"/>
      </rPr>
      <t xml:space="preserve">N2 </t>
    </r>
    <r>
      <rPr>
        <sz val="10"/>
        <rFont val="Noto Sans CJK SC"/>
        <family val="2"/>
      </rPr>
      <t xml:space="preserve">的時候句型的細微差異會變多，可以先從 </t>
    </r>
    <r>
      <rPr>
        <sz val="10"/>
        <rFont val="Microsoft JhengHei"/>
        <family val="0"/>
        <charset val="1"/>
      </rPr>
      <t xml:space="preserve">N2 </t>
    </r>
    <r>
      <rPr>
        <sz val="10"/>
        <rFont val="Noto Sans CJK SC"/>
        <family val="2"/>
      </rPr>
      <t xml:space="preserve">的文法開始接觸。</t>
    </r>
  </si>
  <si>
    <r>
      <rPr>
        <sz val="10"/>
        <rFont val="Microsoft JhengHei"/>
        <family val="0"/>
        <charset val="1"/>
      </rPr>
      <t xml:space="preserve">N3|B_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高</t>
    </r>
    <r>
      <rPr>
        <sz val="10"/>
        <rFont val="Microsoft JhengHei"/>
        <family val="0"/>
        <charset val="1"/>
      </rPr>
      <t xml:space="preserve">|BA</t>
    </r>
  </si>
  <si>
    <r>
      <rPr>
        <sz val="10"/>
        <rFont val="Noto Sans CJK SC"/>
        <family val="2"/>
      </rPr>
      <t xml:space="preserve">言語知識這次表現很好，單字雖然還可以再多累積，但整體已經很穩了。往 </t>
    </r>
    <r>
      <rPr>
        <sz val="10"/>
        <rFont val="Microsoft JhengHei"/>
        <family val="0"/>
        <charset val="1"/>
      </rPr>
      <t xml:space="preserve">N2 </t>
    </r>
    <r>
      <rPr>
        <sz val="10"/>
        <rFont val="Noto Sans CJK SC"/>
        <family val="2"/>
      </rPr>
      <t xml:space="preserve">的時候漢字語彙會變很多，可以先從 </t>
    </r>
    <r>
      <rPr>
        <sz val="10"/>
        <rFont val="Microsoft JhengHei"/>
        <family val="0"/>
        <charset val="1"/>
      </rPr>
      <t xml:space="preserve">N2 </t>
    </r>
    <r>
      <rPr>
        <sz val="10"/>
        <rFont val="Noto Sans CJK SC"/>
        <family val="2"/>
      </rPr>
      <t xml:space="preserve">的單字開始累積。</t>
    </r>
  </si>
  <si>
    <r>
      <rPr>
        <sz val="10"/>
        <rFont val="Microsoft JhengHei"/>
        <family val="0"/>
        <charset val="1"/>
      </rPr>
      <t xml:space="preserve">N3|B_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其他</t>
    </r>
  </si>
  <si>
    <r>
      <rPr>
        <sz val="10"/>
        <rFont val="Noto Sans CJK SC"/>
        <family val="2"/>
      </rPr>
      <t xml:space="preserve">言語知識分數很好，不過單字或文法有一項看起來還不太穩，可能是這次剛好考到不熟的範圍，往 </t>
    </r>
    <r>
      <rPr>
        <sz val="10"/>
        <rFont val="Microsoft JhengHei"/>
        <family val="0"/>
        <charset val="1"/>
      </rPr>
      <t xml:space="preserve">N2 </t>
    </r>
    <r>
      <rPr>
        <sz val="10"/>
        <rFont val="Noto Sans CJK SC"/>
        <family val="2"/>
      </rPr>
      <t xml:space="preserve">之前順手補一下就好。</t>
    </r>
  </si>
  <si>
    <r>
      <rPr>
        <sz val="10"/>
        <rFont val="Microsoft JhengHei"/>
        <family val="0"/>
        <charset val="1"/>
      </rPr>
      <t xml:space="preserve">N3|R_</t>
    </r>
    <r>
      <rPr>
        <sz val="10"/>
        <rFont val="Noto Sans CJK SC"/>
        <family val="2"/>
      </rPr>
      <t xml:space="preserve">讀解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未達</t>
    </r>
    <r>
      <rPr>
        <sz val="10"/>
        <rFont val="Microsoft JhengHei"/>
        <family val="0"/>
        <charset val="1"/>
      </rPr>
      <t xml:space="preserve">|-</t>
    </r>
  </si>
  <si>
    <r>
      <rPr>
        <sz val="10"/>
        <rFont val="Noto Sans CJK SC"/>
        <family val="2"/>
      </rPr>
      <t xml:space="preserve">讀解這科的分數比較低，還沒過線，可能是 </t>
    </r>
    <r>
      <rPr>
        <sz val="10"/>
        <rFont val="Microsoft JhengHei"/>
        <family val="0"/>
        <charset val="1"/>
      </rPr>
      <t xml:space="preserve">N3 </t>
    </r>
    <r>
      <rPr>
        <sz val="10"/>
        <rFont val="Noto Sans CJK SC"/>
        <family val="2"/>
      </rPr>
      <t xml:space="preserve">的文章比 </t>
    </r>
    <r>
      <rPr>
        <sz val="10"/>
        <rFont val="Microsoft JhengHei"/>
        <family val="0"/>
        <charset val="1"/>
      </rPr>
      <t xml:space="preserve">N4 </t>
    </r>
    <r>
      <rPr>
        <sz val="10"/>
        <rFont val="Noto Sans CJK SC"/>
        <family val="2"/>
      </rPr>
      <t xml:space="preserve">長，讀得太慢，或者句子看得懂但段落的意思串不起來。建議可以先從中篇文章開始，每讀一段就問自己這段在講什麼，慢慢把讀的速度和理解一起拉上來。</t>
    </r>
  </si>
  <si>
    <r>
      <rPr>
        <sz val="10"/>
        <rFont val="Microsoft JhengHei"/>
        <family val="0"/>
        <charset val="1"/>
      </rPr>
      <t xml:space="preserve">N3|R_</t>
    </r>
    <r>
      <rPr>
        <sz val="10"/>
        <rFont val="Noto Sans CJK SC"/>
        <family val="2"/>
      </rPr>
      <t xml:space="preserve">讀解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偏低</t>
    </r>
    <r>
      <rPr>
        <sz val="10"/>
        <rFont val="Microsoft JhengHei"/>
        <family val="0"/>
        <charset val="1"/>
      </rPr>
      <t xml:space="preserve">|-</t>
    </r>
  </si>
  <si>
    <t xml:space="preserve">讀解有過線了，但分數還偏低，可能是長文的重點不太好抓，或者時間不夠用。建議練習先看題目再讀文章，知道要找什麼再讀，會省下不少時間，理解也會更順。</t>
  </si>
  <si>
    <r>
      <rPr>
        <sz val="10"/>
        <rFont val="Microsoft JhengHei"/>
        <family val="0"/>
        <charset val="1"/>
      </rPr>
      <t xml:space="preserve">N3|R_</t>
    </r>
    <r>
      <rPr>
        <sz val="10"/>
        <rFont val="Noto Sans CJK SC"/>
        <family val="2"/>
      </rPr>
      <t xml:space="preserve">讀解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中</t>
    </r>
    <r>
      <rPr>
        <sz val="10"/>
        <rFont val="Microsoft JhengHei"/>
        <family val="0"/>
        <charset val="1"/>
      </rPr>
      <t xml:space="preserve">|-</t>
    </r>
  </si>
  <si>
    <r>
      <rPr>
        <sz val="10"/>
        <rFont val="Noto Sans CJK SC"/>
        <family val="2"/>
      </rPr>
      <t xml:space="preserve">讀解這次表現蠻穩定的，</t>
    </r>
    <r>
      <rPr>
        <sz val="10"/>
        <rFont val="Microsoft JhengHei"/>
        <family val="0"/>
        <charset val="1"/>
      </rPr>
      <t xml:space="preserve">N3 </t>
    </r>
    <r>
      <rPr>
        <sz val="10"/>
        <rFont val="Noto Sans CJK SC"/>
        <family val="2"/>
      </rPr>
      <t xml:space="preserve">長度的文章已經讀得順了。你可以試著讀更長一點的文章，像是簡單的專欄或短篇故事，慢慢接觸 </t>
    </r>
    <r>
      <rPr>
        <sz val="10"/>
        <rFont val="Microsoft JhengHei"/>
        <family val="0"/>
        <charset val="1"/>
      </rPr>
      <t xml:space="preserve">N2 </t>
    </r>
    <r>
      <rPr>
        <sz val="10"/>
        <rFont val="Noto Sans CJK SC"/>
        <family val="2"/>
      </rPr>
      <t xml:space="preserve">的長度會是個好時機。</t>
    </r>
  </si>
  <si>
    <r>
      <rPr>
        <sz val="10"/>
        <rFont val="Microsoft JhengHei"/>
        <family val="0"/>
        <charset val="1"/>
      </rPr>
      <t xml:space="preserve">N3|R_</t>
    </r>
    <r>
      <rPr>
        <sz val="10"/>
        <rFont val="Noto Sans CJK SC"/>
        <family val="2"/>
      </rPr>
      <t xml:space="preserve">讀解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高</t>
    </r>
    <r>
      <rPr>
        <sz val="10"/>
        <rFont val="Microsoft JhengHei"/>
        <family val="0"/>
        <charset val="1"/>
      </rPr>
      <t xml:space="preserve">|-</t>
    </r>
  </si>
  <si>
    <r>
      <rPr>
        <sz val="10"/>
        <rFont val="Noto Sans CJK SC"/>
        <family val="2"/>
      </rPr>
      <t xml:space="preserve">讀解這次表現很好，閱讀已經是你的強項了。這科可以直接用 </t>
    </r>
    <r>
      <rPr>
        <sz val="10"/>
        <rFont val="Microsoft JhengHei"/>
        <family val="0"/>
        <charset val="1"/>
      </rPr>
      <t xml:space="preserve">N2 </t>
    </r>
    <r>
      <rPr>
        <sz val="10"/>
        <rFont val="Noto Sans CJK SC"/>
        <family val="2"/>
      </rPr>
      <t xml:space="preserve">的材料來練，試試看論說文和比較長的文章，實力到哪裡很快就會知道。</t>
    </r>
  </si>
  <si>
    <r>
      <rPr>
        <sz val="10"/>
        <rFont val="Microsoft JhengHei"/>
        <family val="0"/>
        <charset val="1"/>
      </rPr>
      <t xml:space="preserve">N3|C_</t>
    </r>
    <r>
      <rPr>
        <sz val="10"/>
        <rFont val="Noto Sans CJK SC"/>
        <family val="2"/>
      </rPr>
      <t xml:space="preserve">聽解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未達</t>
    </r>
    <r>
      <rPr>
        <sz val="10"/>
        <rFont val="Microsoft JhengHei"/>
        <family val="0"/>
        <charset val="1"/>
      </rPr>
      <t xml:space="preserve">|-</t>
    </r>
  </si>
  <si>
    <r>
      <rPr>
        <sz val="10"/>
        <rFont val="Noto Sans CJK SC"/>
        <family val="2"/>
      </rPr>
      <t xml:space="preserve">聽力的分數比較低，還沒過線，可能是 </t>
    </r>
    <r>
      <rPr>
        <sz val="10"/>
        <rFont val="Microsoft JhengHei"/>
        <family val="0"/>
        <charset val="1"/>
      </rPr>
      <t xml:space="preserve">N3 </t>
    </r>
    <r>
      <rPr>
        <sz val="10"/>
        <rFont val="Noto Sans CJK SC"/>
        <family val="2"/>
      </rPr>
      <t xml:space="preserve">開始有即時應答和比較長的對話，反應跟不上，或者聽到一半前面的內容就忘了。建議可以先看文字稿把內容看懂，再搭配音檔反覆聽，特別練習「聽到一句馬上反應」的感覺，讓耳朵慢慢熟起來。</t>
    </r>
  </si>
  <si>
    <r>
      <rPr>
        <sz val="10"/>
        <rFont val="Microsoft JhengHei"/>
        <family val="0"/>
        <charset val="1"/>
      </rPr>
      <t xml:space="preserve">N3|C_</t>
    </r>
    <r>
      <rPr>
        <sz val="10"/>
        <rFont val="Noto Sans CJK SC"/>
        <family val="2"/>
      </rPr>
      <t xml:space="preserve">聽解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偏低</t>
    </r>
    <r>
      <rPr>
        <sz val="10"/>
        <rFont val="Microsoft JhengHei"/>
        <family val="0"/>
        <charset val="1"/>
      </rPr>
      <t xml:space="preserve">|-</t>
    </r>
  </si>
  <si>
    <t xml:space="preserve">你已經能聽懂不少內容了，是很好的開始！只是即時應答的反應可能還不夠快，或者長一點的對話會漏掉重點。建議每天固定聽一小段，先不看字幕聽一次，再對照文字稿看漏掉哪裡，慢慢把反應練起來。</t>
  </si>
  <si>
    <r>
      <rPr>
        <sz val="10"/>
        <rFont val="Microsoft JhengHei"/>
        <family val="0"/>
        <charset val="1"/>
      </rPr>
      <t xml:space="preserve">N3|C_</t>
    </r>
    <r>
      <rPr>
        <sz val="10"/>
        <rFont val="Noto Sans CJK SC"/>
        <family val="2"/>
      </rPr>
      <t xml:space="preserve">聽解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中</t>
    </r>
    <r>
      <rPr>
        <sz val="10"/>
        <rFont val="Microsoft JhengHei"/>
        <family val="0"/>
        <charset val="1"/>
      </rPr>
      <t xml:space="preserve">|-</t>
    </r>
  </si>
  <si>
    <r>
      <rPr>
        <sz val="10"/>
        <rFont val="Noto Sans CJK SC"/>
        <family val="2"/>
      </rPr>
      <t xml:space="preserve">這次的聽力表現不錯，</t>
    </r>
    <r>
      <rPr>
        <sz val="10"/>
        <rFont val="Microsoft JhengHei"/>
        <family val="0"/>
        <charset val="1"/>
      </rPr>
      <t xml:space="preserve">N3 </t>
    </r>
    <r>
      <rPr>
        <sz val="10"/>
        <rFont val="Noto Sans CJK SC"/>
        <family val="2"/>
      </rPr>
      <t xml:space="preserve">的對話和即時應答大部分都能掌握了。可以開始接觸自然語速的素材，像是日劇、新聞或 </t>
    </r>
    <r>
      <rPr>
        <sz val="10"/>
        <rFont val="Microsoft JhengHei"/>
        <family val="0"/>
        <charset val="1"/>
      </rPr>
      <t xml:space="preserve">podcast</t>
    </r>
    <r>
      <rPr>
        <sz val="10"/>
        <rFont val="Noto Sans CJK SC"/>
        <family val="2"/>
      </rPr>
      <t xml:space="preserve">，讓耳朵習慣真實的說話速度。</t>
    </r>
  </si>
  <si>
    <r>
      <rPr>
        <sz val="10"/>
        <rFont val="Microsoft JhengHei"/>
        <family val="0"/>
        <charset val="1"/>
      </rPr>
      <t xml:space="preserve">N3|C_</t>
    </r>
    <r>
      <rPr>
        <sz val="10"/>
        <rFont val="Noto Sans CJK SC"/>
        <family val="2"/>
      </rPr>
      <t xml:space="preserve">聽解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高</t>
    </r>
    <r>
      <rPr>
        <sz val="10"/>
        <rFont val="Microsoft JhengHei"/>
        <family val="0"/>
        <charset val="1"/>
      </rPr>
      <t xml:space="preserve">|-</t>
    </r>
  </si>
  <si>
    <r>
      <rPr>
        <sz val="10"/>
        <rFont val="Noto Sans CJK SC"/>
        <family val="2"/>
      </rPr>
      <t xml:space="preserve">聽力是你的強項，</t>
    </r>
    <r>
      <rPr>
        <sz val="10"/>
        <rFont val="Microsoft JhengHei"/>
        <family val="0"/>
        <charset val="1"/>
      </rPr>
      <t xml:space="preserve">N3 </t>
    </r>
    <r>
      <rPr>
        <sz val="10"/>
        <rFont val="Noto Sans CJK SC"/>
        <family val="2"/>
      </rPr>
      <t xml:space="preserve">的聽解對你來說已經很穩了。可以直接接觸 </t>
    </r>
    <r>
      <rPr>
        <sz val="10"/>
        <rFont val="Microsoft JhengHei"/>
        <family val="0"/>
        <charset val="1"/>
      </rPr>
      <t xml:space="preserve">N2 </t>
    </r>
    <r>
      <rPr>
        <sz val="10"/>
        <rFont val="Noto Sans CJK SC"/>
        <family val="2"/>
      </rPr>
      <t xml:space="preserve">的聽力，試試看概要理解和比較長的獨白，實力到哪裡很快就會知道。</t>
    </r>
  </si>
  <si>
    <r>
      <rPr>
        <sz val="10"/>
        <rFont val="Microsoft JhengHei"/>
        <family val="0"/>
        <charset val="1"/>
      </rPr>
      <t xml:space="preserve">N4|A_</t>
    </r>
    <r>
      <rPr>
        <sz val="10"/>
        <rFont val="Noto Sans CJK SC"/>
        <family val="2"/>
      </rPr>
      <t xml:space="preserve">總判定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單科未達</t>
    </r>
    <r>
      <rPr>
        <sz val="10"/>
        <rFont val="Microsoft JhengHei"/>
        <family val="0"/>
        <charset val="1"/>
      </rPr>
      <t xml:space="preserve">|-</t>
    </r>
  </si>
  <si>
    <r>
      <rPr>
        <sz val="10"/>
        <rFont val="Noto Sans CJK SC"/>
        <family val="2"/>
      </rPr>
      <t xml:space="preserve">現在先集中把那一科補起來，其他科維持住，</t>
    </r>
    <r>
      <rPr>
        <sz val="10"/>
        <rFont val="Microsoft JhengHei"/>
        <family val="0"/>
        <charset val="1"/>
      </rPr>
      <t xml:space="preserve">12 </t>
    </r>
    <r>
      <rPr>
        <sz val="10"/>
        <rFont val="Noto Sans CJK SC"/>
        <family val="2"/>
      </rPr>
      <t xml:space="preserve">月再考一次 </t>
    </r>
    <r>
      <rPr>
        <sz val="10"/>
        <rFont val="Microsoft JhengHei"/>
        <family val="0"/>
        <charset val="1"/>
      </rPr>
      <t xml:space="preserve">N4</t>
    </r>
    <r>
      <rPr>
        <sz val="10"/>
        <rFont val="Noto Sans CJK SC"/>
        <family val="2"/>
      </rPr>
      <t xml:space="preserve">，應該就能順利過了。</t>
    </r>
  </si>
  <si>
    <r>
      <rPr>
        <sz val="10"/>
        <rFont val="Microsoft JhengHei"/>
        <family val="0"/>
        <charset val="1"/>
      </rPr>
      <t xml:space="preserve">N4|A_</t>
    </r>
    <r>
      <rPr>
        <sz val="10"/>
        <rFont val="Noto Sans CJK SC"/>
        <family val="2"/>
      </rPr>
      <t xml:space="preserve">總判定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差</t>
    </r>
    <r>
      <rPr>
        <sz val="10"/>
        <rFont val="Microsoft JhengHei"/>
        <family val="0"/>
        <charset val="1"/>
      </rPr>
      <t xml:space="preserve">20+|-</t>
    </r>
  </si>
  <si>
    <r>
      <rPr>
        <sz val="10"/>
        <rFont val="Noto Sans CJK SC"/>
        <family val="2"/>
      </rPr>
      <t xml:space="preserve">你願意把成績交出來，這一步就很值得肯定。這次的分數離及格還有一段距離，表示你對 </t>
    </r>
    <r>
      <rPr>
        <sz val="10"/>
        <rFont val="Microsoft JhengHei"/>
        <family val="0"/>
        <charset val="1"/>
      </rPr>
      <t xml:space="preserve">N4 </t>
    </r>
    <r>
      <rPr>
        <sz val="10"/>
        <rFont val="Noto Sans CJK SC"/>
        <family val="2"/>
      </rPr>
      <t xml:space="preserve">的動詞變化、句型和聽力都還不太熟。</t>
    </r>
  </si>
  <si>
    <r>
      <rPr>
        <sz val="10"/>
        <rFont val="Noto Sans CJK SC"/>
        <family val="2"/>
      </rPr>
      <t xml:space="preserve">現在先不要急，照上面的方向慢慢補，</t>
    </r>
    <r>
      <rPr>
        <sz val="10"/>
        <rFont val="Microsoft JhengHei"/>
        <family val="0"/>
        <charset val="1"/>
      </rPr>
      <t xml:space="preserve">12 </t>
    </r>
    <r>
      <rPr>
        <sz val="10"/>
        <rFont val="Noto Sans CJK SC"/>
        <family val="2"/>
      </rPr>
      <t xml:space="preserve">月再考一次 </t>
    </r>
    <r>
      <rPr>
        <sz val="10"/>
        <rFont val="Microsoft JhengHei"/>
        <family val="0"/>
        <charset val="1"/>
      </rPr>
      <t xml:space="preserve">N4</t>
    </r>
    <r>
      <rPr>
        <sz val="10"/>
        <rFont val="Noto Sans CJK SC"/>
        <family val="2"/>
      </rPr>
      <t xml:space="preserve">，會是比較實在的做法。</t>
    </r>
  </si>
  <si>
    <r>
      <rPr>
        <sz val="10"/>
        <rFont val="Microsoft JhengHei"/>
        <family val="0"/>
        <charset val="1"/>
      </rPr>
      <t xml:space="preserve">N4|A_</t>
    </r>
    <r>
      <rPr>
        <sz val="10"/>
        <rFont val="Noto Sans CJK SC"/>
        <family val="2"/>
      </rPr>
      <t xml:space="preserve">總判定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差</t>
    </r>
    <r>
      <rPr>
        <sz val="10"/>
        <rFont val="Microsoft JhengHei"/>
        <family val="0"/>
        <charset val="1"/>
      </rPr>
      <t xml:space="preserve">1-19|-</t>
    </r>
  </si>
  <si>
    <r>
      <rPr>
        <sz val="10"/>
        <rFont val="Noto Sans CJK SC"/>
        <family val="2"/>
      </rPr>
      <t xml:space="preserve">這次其實只差一點點就及格了，代表你 </t>
    </r>
    <r>
      <rPr>
        <sz val="10"/>
        <rFont val="Microsoft JhengHei"/>
        <family val="0"/>
        <charset val="1"/>
      </rPr>
      <t xml:space="preserve">N4 </t>
    </r>
    <r>
      <rPr>
        <sz val="10"/>
        <rFont val="Noto Sans CJK SC"/>
        <family val="2"/>
      </rPr>
      <t xml:space="preserve">的基礎已經有了，只是還不太穩。</t>
    </r>
  </si>
  <si>
    <r>
      <rPr>
        <sz val="10"/>
        <rFont val="Noto Sans CJK SC"/>
        <family val="2"/>
      </rPr>
      <t xml:space="preserve">這種差距通常再練一輪就跨得過去，照上面的方向補一補，</t>
    </r>
    <r>
      <rPr>
        <sz val="10"/>
        <rFont val="Microsoft JhengHei"/>
        <family val="0"/>
        <charset val="1"/>
      </rPr>
      <t xml:space="preserve">12 </t>
    </r>
    <r>
      <rPr>
        <sz val="10"/>
        <rFont val="Noto Sans CJK SC"/>
        <family val="2"/>
      </rPr>
      <t xml:space="preserve">月再考一次 </t>
    </r>
    <r>
      <rPr>
        <sz val="10"/>
        <rFont val="Microsoft JhengHei"/>
        <family val="0"/>
        <charset val="1"/>
      </rPr>
      <t xml:space="preserve">N4</t>
    </r>
    <r>
      <rPr>
        <sz val="10"/>
        <rFont val="Noto Sans CJK SC"/>
        <family val="2"/>
      </rPr>
      <t xml:space="preserve">，不用太擔心。</t>
    </r>
  </si>
  <si>
    <r>
      <rPr>
        <sz val="10"/>
        <rFont val="Microsoft JhengHei"/>
        <family val="0"/>
        <charset val="1"/>
      </rPr>
      <t xml:space="preserve">N4|A_</t>
    </r>
    <r>
      <rPr>
        <sz val="10"/>
        <rFont val="Noto Sans CJK SC"/>
        <family val="2"/>
      </rPr>
      <t xml:space="preserve">總判定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過</t>
    </r>
    <r>
      <rPr>
        <sz val="10"/>
        <rFont val="Microsoft JhengHei"/>
        <family val="0"/>
        <charset val="1"/>
      </rPr>
      <t xml:space="preserve">0-14|-</t>
    </r>
  </si>
  <si>
    <r>
      <rPr>
        <sz val="10"/>
        <rFont val="Microsoft JhengHei"/>
        <family val="0"/>
        <charset val="1"/>
      </rPr>
      <t xml:space="preserve">N4 </t>
    </r>
    <r>
      <rPr>
        <sz val="10"/>
        <rFont val="Noto Sans CJK SC"/>
        <family val="2"/>
      </rPr>
      <t xml:space="preserve">可以再練深一點，</t>
    </r>
    <r>
      <rPr>
        <sz val="10"/>
        <rFont val="Microsoft JhengHei"/>
        <family val="0"/>
        <charset val="1"/>
      </rPr>
      <t xml:space="preserve">12 </t>
    </r>
    <r>
      <rPr>
        <sz val="10"/>
        <rFont val="Noto Sans CJK SC"/>
        <family val="2"/>
      </rPr>
      <t xml:space="preserve">月同級再考一次把分數考穩；如果想直接挑戰 </t>
    </r>
    <r>
      <rPr>
        <sz val="10"/>
        <rFont val="Microsoft JhengHei"/>
        <family val="0"/>
        <charset val="1"/>
      </rPr>
      <t xml:space="preserve">N3 </t>
    </r>
    <r>
      <rPr>
        <sz val="10"/>
        <rFont val="Noto Sans CJK SC"/>
        <family val="2"/>
      </rPr>
      <t xml:space="preserve">也可以，只是要有心理準備，這幾個月得下多一點功夫。</t>
    </r>
  </si>
  <si>
    <r>
      <rPr>
        <sz val="10"/>
        <rFont val="Microsoft JhengHei"/>
        <family val="0"/>
        <charset val="1"/>
      </rPr>
      <t xml:space="preserve">N4|A_</t>
    </r>
    <r>
      <rPr>
        <sz val="10"/>
        <rFont val="Noto Sans CJK SC"/>
        <family val="2"/>
      </rPr>
      <t xml:space="preserve">總判定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過</t>
    </r>
    <r>
      <rPr>
        <sz val="10"/>
        <rFont val="Microsoft JhengHei"/>
        <family val="0"/>
        <charset val="1"/>
      </rPr>
      <t xml:space="preserve">15-39|-</t>
    </r>
  </si>
  <si>
    <r>
      <rPr>
        <sz val="10"/>
        <rFont val="Noto Sans CJK SC"/>
        <family val="2"/>
      </rPr>
      <t xml:space="preserve">恭喜合格！而且是穩穩地過，</t>
    </r>
    <r>
      <rPr>
        <sz val="10"/>
        <rFont val="Microsoft JhengHei"/>
        <family val="0"/>
        <charset val="1"/>
      </rPr>
      <t xml:space="preserve">N4 </t>
    </r>
    <r>
      <rPr>
        <sz val="10"/>
        <rFont val="Noto Sans CJK SC"/>
        <family val="2"/>
      </rPr>
      <t xml:space="preserve">的內容已經掌握得不錯了。</t>
    </r>
  </si>
  <si>
    <r>
      <rPr>
        <sz val="10"/>
        <rFont val="Noto Sans CJK SC"/>
        <family val="2"/>
      </rPr>
      <t xml:space="preserve">現在可以開始慢慢接觸 </t>
    </r>
    <r>
      <rPr>
        <sz val="10"/>
        <rFont val="Microsoft JhengHei"/>
        <family val="0"/>
        <charset val="1"/>
      </rPr>
      <t xml:space="preserve">N3 </t>
    </r>
    <r>
      <rPr>
        <sz val="10"/>
        <rFont val="Noto Sans CJK SC"/>
        <family val="2"/>
      </rPr>
      <t xml:space="preserve">的內容，</t>
    </r>
    <r>
      <rPr>
        <sz val="10"/>
        <rFont val="Microsoft JhengHei"/>
        <family val="0"/>
        <charset val="1"/>
      </rPr>
      <t xml:space="preserve">12 </t>
    </r>
    <r>
      <rPr>
        <sz val="10"/>
        <rFont val="Noto Sans CJK SC"/>
        <family val="2"/>
      </rPr>
      <t xml:space="preserve">月直接報 </t>
    </r>
    <r>
      <rPr>
        <sz val="10"/>
        <rFont val="Microsoft JhengHei"/>
        <family val="0"/>
        <charset val="1"/>
      </rPr>
      <t xml:space="preserve">N3</t>
    </r>
    <r>
      <rPr>
        <sz val="10"/>
        <rFont val="Noto Sans CJK SC"/>
        <family val="2"/>
      </rPr>
      <t xml:space="preserve">，時間剛剛好。</t>
    </r>
  </si>
  <si>
    <r>
      <rPr>
        <sz val="10"/>
        <rFont val="Microsoft JhengHei"/>
        <family val="0"/>
        <charset val="1"/>
      </rPr>
      <t xml:space="preserve">N4|A_</t>
    </r>
    <r>
      <rPr>
        <sz val="10"/>
        <rFont val="Noto Sans CJK SC"/>
        <family val="2"/>
      </rPr>
      <t xml:space="preserve">總判定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過</t>
    </r>
    <r>
      <rPr>
        <sz val="10"/>
        <rFont val="Microsoft JhengHei"/>
        <family val="0"/>
        <charset val="1"/>
      </rPr>
      <t xml:space="preserve">40+|-</t>
    </r>
  </si>
  <si>
    <r>
      <rPr>
        <sz val="10"/>
        <rFont val="Noto Sans CJK SC"/>
        <family val="2"/>
      </rPr>
      <t xml:space="preserve">恭喜，這次的成績很不錯，</t>
    </r>
    <r>
      <rPr>
        <sz val="10"/>
        <rFont val="Microsoft JhengHei"/>
        <family val="0"/>
        <charset val="1"/>
      </rPr>
      <t xml:space="preserve">N4 </t>
    </r>
    <r>
      <rPr>
        <sz val="10"/>
        <rFont val="Noto Sans CJK SC"/>
        <family val="2"/>
      </rPr>
      <t xml:space="preserve">對你來說已經沒什麼問題了。</t>
    </r>
  </si>
  <si>
    <r>
      <rPr>
        <sz val="10"/>
        <rFont val="Microsoft JhengHei"/>
        <family val="0"/>
        <charset val="1"/>
      </rPr>
      <t xml:space="preserve">12 </t>
    </r>
    <r>
      <rPr>
        <sz val="10"/>
        <rFont val="Noto Sans CJK SC"/>
        <family val="2"/>
      </rPr>
      <t xml:space="preserve">月直接報 </t>
    </r>
    <r>
      <rPr>
        <sz val="10"/>
        <rFont val="Microsoft JhengHei"/>
        <family val="0"/>
        <charset val="1"/>
      </rPr>
      <t xml:space="preserve">N3</t>
    </r>
    <r>
      <rPr>
        <sz val="10"/>
        <rFont val="Noto Sans CJK SC"/>
        <family val="2"/>
      </rPr>
      <t xml:space="preserve">，以你現在的程度，準備起來會很順的。</t>
    </r>
  </si>
  <si>
    <r>
      <rPr>
        <sz val="10"/>
        <rFont val="Microsoft JhengHei"/>
        <family val="0"/>
        <charset val="1"/>
      </rPr>
      <t xml:space="preserve">N4|B_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未達</t>
    </r>
    <r>
      <rPr>
        <sz val="10"/>
        <rFont val="Microsoft JhengHei"/>
        <family val="0"/>
        <charset val="1"/>
      </rPr>
      <t xml:space="preserve">|AA</t>
    </r>
  </si>
  <si>
    <r>
      <rPr>
        <sz val="10"/>
        <rFont val="Noto Sans CJK SC"/>
        <family val="2"/>
      </rPr>
      <t xml:space="preserve">言語知識・讀解 </t>
    </r>
    <r>
      <rPr>
        <sz val="10"/>
        <rFont val="Microsoft JhengHei"/>
        <family val="0"/>
        <charset val="1"/>
      </rPr>
      <t xml:space="preserve">0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37</t>
    </r>
    <r>
      <rPr>
        <sz val="10"/>
        <rFont val="Noto Sans CJK SC"/>
        <family val="2"/>
      </rPr>
      <t xml:space="preserve">／單字 </t>
    </r>
    <r>
      <rPr>
        <sz val="10"/>
        <rFont val="Microsoft JhengHei"/>
        <family val="0"/>
        <charset val="1"/>
      </rPr>
      <t xml:space="preserve">A</t>
    </r>
    <r>
      <rPr>
        <sz val="10"/>
        <rFont val="Noto Sans CJK SC"/>
        <family val="2"/>
      </rPr>
      <t xml:space="preserve">／文法 </t>
    </r>
    <r>
      <rPr>
        <sz val="10"/>
        <rFont val="Microsoft JhengHei"/>
        <family val="0"/>
        <charset val="1"/>
      </rPr>
      <t xml:space="preserve">A</t>
    </r>
  </si>
  <si>
    <t xml:space="preserve">言語知識・讀解這科的分數比較低，還沒過線，不過單字和文法你其實都掌握得不錯，主要是閱讀的部分拉低了，可能是句子看得懂，但整篇文章讀起來還不太順。建議可以多做一點短文練習，先抓每一段在講什麼，再慢慢把長度加上去，幫助閱讀的感覺建立起來。</t>
  </si>
  <si>
    <r>
      <rPr>
        <sz val="10"/>
        <rFont val="Microsoft JhengHei"/>
        <family val="0"/>
        <charset val="1"/>
      </rPr>
      <t xml:space="preserve">N4|B_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未達</t>
    </r>
    <r>
      <rPr>
        <sz val="10"/>
        <rFont val="Microsoft JhengHei"/>
        <family val="0"/>
        <charset val="1"/>
      </rPr>
      <t xml:space="preserve">|AB</t>
    </r>
  </si>
  <si>
    <r>
      <rPr>
        <sz val="10"/>
        <rFont val="Noto Sans CJK SC"/>
        <family val="2"/>
      </rPr>
      <t xml:space="preserve">言語知識・讀解 </t>
    </r>
    <r>
      <rPr>
        <sz val="10"/>
        <rFont val="Microsoft JhengHei"/>
        <family val="0"/>
        <charset val="1"/>
      </rPr>
      <t xml:space="preserve">0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37</t>
    </r>
    <r>
      <rPr>
        <sz val="10"/>
        <rFont val="Noto Sans CJK SC"/>
        <family val="2"/>
      </rPr>
      <t xml:space="preserve">／單字 </t>
    </r>
    <r>
      <rPr>
        <sz val="10"/>
        <rFont val="Microsoft JhengHei"/>
        <family val="0"/>
        <charset val="1"/>
      </rPr>
      <t xml:space="preserve">A</t>
    </r>
    <r>
      <rPr>
        <sz val="10"/>
        <rFont val="Noto Sans CJK SC"/>
        <family val="2"/>
      </rPr>
      <t xml:space="preserve">／文法 </t>
    </r>
    <r>
      <rPr>
        <sz val="10"/>
        <rFont val="Microsoft JhengHei"/>
        <family val="0"/>
        <charset val="1"/>
      </rPr>
      <t xml:space="preserve">B</t>
    </r>
  </si>
  <si>
    <t xml:space="preserve">言語知識・讀解這科的分數比較低，還沒過線，單字的部分你掌握得不錯，文法比較弱一些，動詞變化和助詞一多可能就有點混。建議可以先把て形、ない形、可能形這些變化整理一遍，每個句型多造幾個句子練熟，等句子看得穩了，再慢慢加入短文閱讀，幫助語感回穩。</t>
  </si>
  <si>
    <r>
      <rPr>
        <sz val="10"/>
        <rFont val="Microsoft JhengHei"/>
        <family val="0"/>
        <charset val="1"/>
      </rPr>
      <t xml:space="preserve">N4|B_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未達</t>
    </r>
    <r>
      <rPr>
        <sz val="10"/>
        <rFont val="Microsoft JhengHei"/>
        <family val="0"/>
        <charset val="1"/>
      </rPr>
      <t xml:space="preserve">|BA</t>
    </r>
  </si>
  <si>
    <r>
      <rPr>
        <sz val="10"/>
        <rFont val="Noto Sans CJK SC"/>
        <family val="2"/>
      </rPr>
      <t xml:space="preserve">言語知識・讀解 </t>
    </r>
    <r>
      <rPr>
        <sz val="10"/>
        <rFont val="Microsoft JhengHei"/>
        <family val="0"/>
        <charset val="1"/>
      </rPr>
      <t xml:space="preserve">0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37</t>
    </r>
    <r>
      <rPr>
        <sz val="10"/>
        <rFont val="Noto Sans CJK SC"/>
        <family val="2"/>
      </rPr>
      <t xml:space="preserve">／單字 </t>
    </r>
    <r>
      <rPr>
        <sz val="10"/>
        <rFont val="Microsoft JhengHei"/>
        <family val="0"/>
        <charset val="1"/>
      </rPr>
      <t xml:space="preserve">B</t>
    </r>
    <r>
      <rPr>
        <sz val="10"/>
        <rFont val="Noto Sans CJK SC"/>
        <family val="2"/>
      </rPr>
      <t xml:space="preserve">／文法 </t>
    </r>
    <r>
      <rPr>
        <sz val="10"/>
        <rFont val="Microsoft JhengHei"/>
        <family val="0"/>
        <charset val="1"/>
      </rPr>
      <t xml:space="preserve">A</t>
    </r>
  </si>
  <si>
    <r>
      <rPr>
        <sz val="10"/>
        <rFont val="Noto Sans CJK SC"/>
        <family val="2"/>
      </rPr>
      <t xml:space="preserve">言語知識・讀解這科的分數比較低，還沒過線，文法的部分掌握得還可以，單字比較弱一些，</t>
    </r>
    <r>
      <rPr>
        <sz val="10"/>
        <rFont val="Microsoft JhengHei"/>
        <family val="0"/>
        <charset val="1"/>
      </rPr>
      <t xml:space="preserve">N4 </t>
    </r>
    <r>
      <rPr>
        <sz val="10"/>
        <rFont val="Noto Sans CJK SC"/>
        <family val="2"/>
      </rPr>
      <t xml:space="preserve">的單字量比 </t>
    </r>
    <r>
      <rPr>
        <sz val="10"/>
        <rFont val="Microsoft JhengHei"/>
        <family val="0"/>
        <charset val="1"/>
      </rPr>
      <t xml:space="preserve">N5 </t>
    </r>
    <r>
      <rPr>
        <sz val="10"/>
        <rFont val="Noto Sans CJK SC"/>
        <family val="2"/>
      </rPr>
      <t xml:space="preserve">多了不少，讀文章可能常卡在生字上。建議可以每天固定背一小批單字，搭配例句一起記，字認得多了，閱讀自然會跟上來。</t>
    </r>
  </si>
  <si>
    <r>
      <rPr>
        <sz val="10"/>
        <rFont val="Microsoft JhengHei"/>
        <family val="0"/>
        <charset val="1"/>
      </rPr>
      <t xml:space="preserve">N4|B_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未達</t>
    </r>
    <r>
      <rPr>
        <sz val="10"/>
        <rFont val="Microsoft JhengHei"/>
        <family val="0"/>
        <charset val="1"/>
      </rPr>
      <t xml:space="preserve">|BB</t>
    </r>
  </si>
  <si>
    <r>
      <rPr>
        <sz val="10"/>
        <rFont val="Noto Sans CJK SC"/>
        <family val="2"/>
      </rPr>
      <t xml:space="preserve">言語知識・讀解 </t>
    </r>
    <r>
      <rPr>
        <sz val="10"/>
        <rFont val="Microsoft JhengHei"/>
        <family val="0"/>
        <charset val="1"/>
      </rPr>
      <t xml:space="preserve">0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37</t>
    </r>
    <r>
      <rPr>
        <sz val="10"/>
        <rFont val="Noto Sans CJK SC"/>
        <family val="2"/>
      </rPr>
      <t xml:space="preserve">／單字 </t>
    </r>
    <r>
      <rPr>
        <sz val="10"/>
        <rFont val="Microsoft JhengHei"/>
        <family val="0"/>
        <charset val="1"/>
      </rPr>
      <t xml:space="preserve">B</t>
    </r>
    <r>
      <rPr>
        <sz val="10"/>
        <rFont val="Noto Sans CJK SC"/>
        <family val="2"/>
      </rPr>
      <t xml:space="preserve">／文法 </t>
    </r>
    <r>
      <rPr>
        <sz val="10"/>
        <rFont val="Microsoft JhengHei"/>
        <family val="0"/>
        <charset val="1"/>
      </rPr>
      <t xml:space="preserve">B</t>
    </r>
  </si>
  <si>
    <r>
      <rPr>
        <sz val="10"/>
        <rFont val="Noto Sans CJK SC"/>
        <family val="2"/>
      </rPr>
      <t xml:space="preserve">言語知識・讀解這科的分數比較低，還沒過線，表示你在文法、單字和閱讀這塊都還沒那麼熟練。建議可以先複習</t>
    </r>
    <r>
      <rPr>
        <sz val="10"/>
        <rFont val="Microsoft JhengHei"/>
        <family val="0"/>
        <charset val="1"/>
      </rPr>
      <t xml:space="preserve">N4 </t>
    </r>
    <r>
      <rPr>
        <sz val="10"/>
        <rFont val="Noto Sans CJK SC"/>
        <family val="2"/>
      </rPr>
      <t xml:space="preserve">的基本句型和動詞變化，再慢慢加入短文閱讀練習，幫助語感回穩。</t>
    </r>
  </si>
  <si>
    <r>
      <rPr>
        <sz val="10"/>
        <rFont val="Microsoft JhengHei"/>
        <family val="0"/>
        <charset val="1"/>
      </rPr>
      <t xml:space="preserve">N4|B_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未達</t>
    </r>
    <r>
      <rPr>
        <sz val="10"/>
        <rFont val="Microsoft JhengHei"/>
        <family val="0"/>
        <charset val="1"/>
      </rPr>
      <t xml:space="preserve">|C1</t>
    </r>
  </si>
  <si>
    <r>
      <rPr>
        <sz val="10"/>
        <rFont val="Noto Sans CJK SC"/>
        <family val="2"/>
      </rPr>
      <t xml:space="preserve">言語知識・讀解 </t>
    </r>
    <r>
      <rPr>
        <sz val="10"/>
        <rFont val="Microsoft JhengHei"/>
        <family val="0"/>
        <charset val="1"/>
      </rPr>
      <t xml:space="preserve">0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37</t>
    </r>
    <r>
      <rPr>
        <sz val="10"/>
        <rFont val="Noto Sans CJK SC"/>
        <family val="2"/>
      </rPr>
      <t xml:space="preserve">／單項 </t>
    </r>
    <r>
      <rPr>
        <sz val="10"/>
        <rFont val="Microsoft JhengHei"/>
        <family val="0"/>
        <charset val="1"/>
      </rPr>
      <t xml:space="preserve">C</t>
    </r>
    <r>
      <rPr>
        <sz val="10"/>
        <rFont val="Noto Sans CJK SC"/>
        <family val="2"/>
      </rPr>
      <t xml:space="preserve">（另一項 </t>
    </r>
    <r>
      <rPr>
        <sz val="10"/>
        <rFont val="Microsoft JhengHei"/>
        <family val="0"/>
        <charset val="1"/>
      </rPr>
      <t xml:space="preserve">A </t>
    </r>
    <r>
      <rPr>
        <sz val="10"/>
        <rFont val="Noto Sans CJK SC"/>
        <family val="2"/>
      </rPr>
      <t xml:space="preserve">或 </t>
    </r>
    <r>
      <rPr>
        <sz val="10"/>
        <rFont val="Microsoft JhengHei"/>
        <family val="0"/>
        <charset val="1"/>
      </rPr>
      <t xml:space="preserve">B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</si>
  <si>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言語知識・讀解這科的分數比較低，還沒過線，〇〇這塊明顯還不太熟，分數主要是被這裡拉下來的。建議先不要急著做題目，回到課本把 </t>
    </r>
    <r>
      <rPr>
        <sz val="10"/>
        <rFont val="Microsoft JhengHei"/>
        <family val="0"/>
        <charset val="1"/>
      </rPr>
      <t xml:space="preserve">N4 </t>
    </r>
    <r>
      <rPr>
        <sz val="10"/>
        <rFont val="Noto Sans CJK SC"/>
        <family val="2"/>
      </rPr>
      <t xml:space="preserve">的〇〇確實學過一遍，會是比較實在的做法。</t>
    </r>
  </si>
  <si>
    <r>
      <rPr>
        <sz val="10"/>
        <rFont val="Microsoft JhengHei"/>
        <family val="0"/>
        <charset val="1"/>
      </rPr>
      <t xml:space="preserve">N4|B_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未達</t>
    </r>
    <r>
      <rPr>
        <sz val="10"/>
        <rFont val="Microsoft JhengHei"/>
        <family val="0"/>
        <charset val="1"/>
      </rPr>
      <t xml:space="preserve">|CC</t>
    </r>
  </si>
  <si>
    <r>
      <rPr>
        <sz val="10"/>
        <rFont val="Noto Sans CJK SC"/>
        <family val="2"/>
      </rPr>
      <t xml:space="preserve">言語知識・讀解 </t>
    </r>
    <r>
      <rPr>
        <sz val="10"/>
        <rFont val="Microsoft JhengHei"/>
        <family val="0"/>
        <charset val="1"/>
      </rPr>
      <t xml:space="preserve">0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37</t>
    </r>
    <r>
      <rPr>
        <sz val="10"/>
        <rFont val="Noto Sans CJK SC"/>
        <family val="2"/>
      </rPr>
      <t xml:space="preserve">／兩項都 </t>
    </r>
    <r>
      <rPr>
        <sz val="10"/>
        <rFont val="Microsoft JhengHei"/>
        <family val="0"/>
        <charset val="1"/>
      </rPr>
      <t xml:space="preserve">C</t>
    </r>
  </si>
  <si>
    <r>
      <rPr>
        <sz val="10"/>
        <rFont val="Noto Sans CJK SC"/>
        <family val="2"/>
      </rPr>
      <t xml:space="preserve">言語知識・讀解這科的分數比較低，還沒過線，單字和文法都還沒那麼熟，表示</t>
    </r>
    <r>
      <rPr>
        <sz val="10"/>
        <rFont val="Microsoft JhengHei"/>
        <family val="0"/>
        <charset val="1"/>
      </rPr>
      <t xml:space="preserve">N4 </t>
    </r>
    <r>
      <rPr>
        <sz val="10"/>
        <rFont val="Noto Sans CJK SC"/>
        <family val="2"/>
      </rPr>
      <t xml:space="preserve">的基礎還沒建起來，可能 </t>
    </r>
    <r>
      <rPr>
        <sz val="10"/>
        <rFont val="Microsoft JhengHei"/>
        <family val="0"/>
        <charset val="1"/>
      </rPr>
      <t xml:space="preserve">N5 </t>
    </r>
    <r>
      <rPr>
        <sz val="10"/>
        <rFont val="Noto Sans CJK SC"/>
        <family val="2"/>
      </rPr>
      <t xml:space="preserve">的底也還有點鬆。建議先回到課本從頭把內容確實學一遍，不用急著做題目，慢慢把底打穩。</t>
    </r>
  </si>
  <si>
    <r>
      <rPr>
        <sz val="10"/>
        <rFont val="Microsoft JhengHei"/>
        <family val="0"/>
        <charset val="1"/>
      </rPr>
      <t xml:space="preserve">N4|B_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偏低</t>
    </r>
    <r>
      <rPr>
        <sz val="10"/>
        <rFont val="Microsoft JhengHei"/>
        <family val="0"/>
        <charset val="1"/>
      </rPr>
      <t xml:space="preserve">|AA</t>
    </r>
  </si>
  <si>
    <r>
      <rPr>
        <sz val="10"/>
        <rFont val="Noto Sans CJK SC"/>
        <family val="2"/>
      </rPr>
      <t xml:space="preserve">言語知識・讀解 </t>
    </r>
    <r>
      <rPr>
        <sz val="10"/>
        <rFont val="Microsoft JhengHei"/>
        <family val="0"/>
        <charset val="1"/>
      </rPr>
      <t xml:space="preserve">38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59</t>
    </r>
    <r>
      <rPr>
        <sz val="10"/>
        <rFont val="Noto Sans CJK SC"/>
        <family val="2"/>
      </rPr>
      <t xml:space="preserve">／單字 </t>
    </r>
    <r>
      <rPr>
        <sz val="10"/>
        <rFont val="Microsoft JhengHei"/>
        <family val="0"/>
        <charset val="1"/>
      </rPr>
      <t xml:space="preserve">A</t>
    </r>
    <r>
      <rPr>
        <sz val="10"/>
        <rFont val="Noto Sans CJK SC"/>
        <family val="2"/>
      </rPr>
      <t xml:space="preserve">／文法 </t>
    </r>
    <r>
      <rPr>
        <sz val="10"/>
        <rFont val="Microsoft JhengHei"/>
        <family val="0"/>
        <charset val="1"/>
      </rPr>
      <t xml:space="preserve">A</t>
    </r>
  </si>
  <si>
    <t xml:space="preserve">言語知識・讀解有過線了，但分數還偏低，單字和文法你都掌握得不錯，主要是閱讀的部分拉低了，可能是讀得不夠快，或段落一長就抓不到重點。建議可以多讀短篇內容，練習先找出主題句，幫助理解更順。</t>
  </si>
  <si>
    <r>
      <rPr>
        <sz val="10"/>
        <rFont val="Microsoft JhengHei"/>
        <family val="0"/>
        <charset val="1"/>
      </rPr>
      <t xml:space="preserve">N4|B_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偏低</t>
    </r>
    <r>
      <rPr>
        <sz val="10"/>
        <rFont val="Microsoft JhengHei"/>
        <family val="0"/>
        <charset val="1"/>
      </rPr>
      <t xml:space="preserve">|AB</t>
    </r>
  </si>
  <si>
    <r>
      <rPr>
        <sz val="10"/>
        <rFont val="Noto Sans CJK SC"/>
        <family val="2"/>
      </rPr>
      <t xml:space="preserve">言語知識・讀解 </t>
    </r>
    <r>
      <rPr>
        <sz val="10"/>
        <rFont val="Microsoft JhengHei"/>
        <family val="0"/>
        <charset val="1"/>
      </rPr>
      <t xml:space="preserve">38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59</t>
    </r>
    <r>
      <rPr>
        <sz val="10"/>
        <rFont val="Noto Sans CJK SC"/>
        <family val="2"/>
      </rPr>
      <t xml:space="preserve">／單字 </t>
    </r>
    <r>
      <rPr>
        <sz val="10"/>
        <rFont val="Microsoft JhengHei"/>
        <family val="0"/>
        <charset val="1"/>
      </rPr>
      <t xml:space="preserve">A</t>
    </r>
    <r>
      <rPr>
        <sz val="10"/>
        <rFont val="Noto Sans CJK SC"/>
        <family val="2"/>
      </rPr>
      <t xml:space="preserve">／文法 </t>
    </r>
    <r>
      <rPr>
        <sz val="10"/>
        <rFont val="Microsoft JhengHei"/>
        <family val="0"/>
        <charset val="1"/>
      </rPr>
      <t xml:space="preserve">B</t>
    </r>
  </si>
  <si>
    <t xml:space="preserve">言語知識・讀解有過線了，但分數還偏低，單字的部分掌握得不錯，文法還有些地方不太穩，像是意思相近的句型就容易選錯。建議把常錯的句型兩兩對照整理，弄清楚差在哪裡，會比單純背文法表來得有感。</t>
  </si>
  <si>
    <r>
      <rPr>
        <sz val="10"/>
        <rFont val="Microsoft JhengHei"/>
        <family val="0"/>
        <charset val="1"/>
      </rPr>
      <t xml:space="preserve">N4|B_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偏低</t>
    </r>
    <r>
      <rPr>
        <sz val="10"/>
        <rFont val="Microsoft JhengHei"/>
        <family val="0"/>
        <charset val="1"/>
      </rPr>
      <t xml:space="preserve">|BA</t>
    </r>
  </si>
  <si>
    <r>
      <rPr>
        <sz val="10"/>
        <rFont val="Noto Sans CJK SC"/>
        <family val="2"/>
      </rPr>
      <t xml:space="preserve">言語知識・讀解 </t>
    </r>
    <r>
      <rPr>
        <sz val="10"/>
        <rFont val="Microsoft JhengHei"/>
        <family val="0"/>
        <charset val="1"/>
      </rPr>
      <t xml:space="preserve">38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59</t>
    </r>
    <r>
      <rPr>
        <sz val="10"/>
        <rFont val="Noto Sans CJK SC"/>
        <family val="2"/>
      </rPr>
      <t xml:space="preserve">／單字 </t>
    </r>
    <r>
      <rPr>
        <sz val="10"/>
        <rFont val="Microsoft JhengHei"/>
        <family val="0"/>
        <charset val="1"/>
      </rPr>
      <t xml:space="preserve">B</t>
    </r>
    <r>
      <rPr>
        <sz val="10"/>
        <rFont val="Noto Sans CJK SC"/>
        <family val="2"/>
      </rPr>
      <t xml:space="preserve">／文法 </t>
    </r>
    <r>
      <rPr>
        <sz val="10"/>
        <rFont val="Microsoft JhengHei"/>
        <family val="0"/>
        <charset val="1"/>
      </rPr>
      <t xml:space="preserve">A</t>
    </r>
  </si>
  <si>
    <t xml:space="preserve">言語知識・讀解有過線了，但分數還偏低，文法掌握得不錯，單字還有些地方不太穩，句型看得懂但字認不出來。建議可以每天固定背一小批單字，搭配例句一起記，不要只記中文意思，會比較記得住。</t>
  </si>
  <si>
    <r>
      <rPr>
        <sz val="10"/>
        <rFont val="Microsoft JhengHei"/>
        <family val="0"/>
        <charset val="1"/>
      </rPr>
      <t xml:space="preserve">N4|B_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偏低</t>
    </r>
    <r>
      <rPr>
        <sz val="10"/>
        <rFont val="Microsoft JhengHei"/>
        <family val="0"/>
        <charset val="1"/>
      </rPr>
      <t xml:space="preserve">|BB</t>
    </r>
  </si>
  <si>
    <r>
      <rPr>
        <sz val="10"/>
        <rFont val="Noto Sans CJK SC"/>
        <family val="2"/>
      </rPr>
      <t xml:space="preserve">言語知識・讀解 </t>
    </r>
    <r>
      <rPr>
        <sz val="10"/>
        <rFont val="Microsoft JhengHei"/>
        <family val="0"/>
        <charset val="1"/>
      </rPr>
      <t xml:space="preserve">38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59</t>
    </r>
    <r>
      <rPr>
        <sz val="10"/>
        <rFont val="Noto Sans CJK SC"/>
        <family val="2"/>
      </rPr>
      <t xml:space="preserve">／單字 </t>
    </r>
    <r>
      <rPr>
        <sz val="10"/>
        <rFont val="Microsoft JhengHei"/>
        <family val="0"/>
        <charset val="1"/>
      </rPr>
      <t xml:space="preserve">B</t>
    </r>
    <r>
      <rPr>
        <sz val="10"/>
        <rFont val="Noto Sans CJK SC"/>
        <family val="2"/>
      </rPr>
      <t xml:space="preserve">／文法 </t>
    </r>
    <r>
      <rPr>
        <sz val="10"/>
        <rFont val="Microsoft JhengHei"/>
        <family val="0"/>
        <charset val="1"/>
      </rPr>
      <t xml:space="preserve">B</t>
    </r>
  </si>
  <si>
    <t xml:space="preserve">言語知識・讀解有過線了，但分數還偏低，代表你有一些基礎了，文法和單字都有一定掌握，但都還不夠熟，可能是練習量還不太夠。建議先把基礎教材完整複習一輪，再多閱讀短篇內容幫助理解更順。</t>
  </si>
  <si>
    <r>
      <rPr>
        <sz val="10"/>
        <rFont val="Microsoft JhengHei"/>
        <family val="0"/>
        <charset val="1"/>
      </rPr>
      <t xml:space="preserve">N4|B_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偏低</t>
    </r>
    <r>
      <rPr>
        <sz val="10"/>
        <rFont val="Microsoft JhengHei"/>
        <family val="0"/>
        <charset val="1"/>
      </rPr>
      <t xml:space="preserve">|C1</t>
    </r>
  </si>
  <si>
    <r>
      <rPr>
        <sz val="10"/>
        <rFont val="Noto Sans CJK SC"/>
        <family val="2"/>
      </rPr>
      <t xml:space="preserve">言語知識・讀解 </t>
    </r>
    <r>
      <rPr>
        <sz val="10"/>
        <rFont val="Microsoft JhengHei"/>
        <family val="0"/>
        <charset val="1"/>
      </rPr>
      <t xml:space="preserve">38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59</t>
    </r>
    <r>
      <rPr>
        <sz val="10"/>
        <rFont val="Noto Sans CJK SC"/>
        <family val="2"/>
      </rPr>
      <t xml:space="preserve">／單項 </t>
    </r>
    <r>
      <rPr>
        <sz val="10"/>
        <rFont val="Microsoft JhengHei"/>
        <family val="0"/>
        <charset val="1"/>
      </rPr>
      <t xml:space="preserve">C</t>
    </r>
    <r>
      <rPr>
        <sz val="10"/>
        <rFont val="Noto Sans CJK SC"/>
        <family val="2"/>
      </rPr>
      <t xml:space="preserve">（另一項 </t>
    </r>
    <r>
      <rPr>
        <sz val="10"/>
        <rFont val="Microsoft JhengHei"/>
        <family val="0"/>
        <charset val="1"/>
      </rPr>
      <t xml:space="preserve">A </t>
    </r>
    <r>
      <rPr>
        <sz val="10"/>
        <rFont val="Noto Sans CJK SC"/>
        <family val="2"/>
      </rPr>
      <t xml:space="preserve">或 </t>
    </r>
    <r>
      <rPr>
        <sz val="10"/>
        <rFont val="Microsoft JhengHei"/>
        <family val="0"/>
        <charset val="1"/>
      </rPr>
      <t xml:space="preserve">B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</si>
  <si>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言語知識・讀解有過線了，但〇〇這塊明顯還不太熟，分數主要是被這裡拉下來的。建議先集中把 </t>
    </r>
    <r>
      <rPr>
        <sz val="10"/>
        <rFont val="Microsoft JhengHei"/>
        <family val="0"/>
        <charset val="1"/>
      </rPr>
      <t xml:space="preserve">N4 </t>
    </r>
    <r>
      <rPr>
        <sz val="10"/>
        <rFont val="Noto Sans CJK SC"/>
        <family val="2"/>
      </rPr>
      <t xml:space="preserve">的〇〇補起來，這科的分數會有感地往上。</t>
    </r>
  </si>
  <si>
    <r>
      <rPr>
        <sz val="10"/>
        <rFont val="Microsoft JhengHei"/>
        <family val="0"/>
        <charset val="1"/>
      </rPr>
      <t xml:space="preserve">N4|B_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偏低</t>
    </r>
    <r>
      <rPr>
        <sz val="10"/>
        <rFont val="Microsoft JhengHei"/>
        <family val="0"/>
        <charset val="1"/>
      </rPr>
      <t xml:space="preserve">|CC</t>
    </r>
  </si>
  <si>
    <r>
      <rPr>
        <sz val="10"/>
        <rFont val="Noto Sans CJK SC"/>
        <family val="2"/>
      </rPr>
      <t xml:space="preserve">言語知識・讀解 </t>
    </r>
    <r>
      <rPr>
        <sz val="10"/>
        <rFont val="Microsoft JhengHei"/>
        <family val="0"/>
        <charset val="1"/>
      </rPr>
      <t xml:space="preserve">38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59</t>
    </r>
    <r>
      <rPr>
        <sz val="10"/>
        <rFont val="Noto Sans CJK SC"/>
        <family val="2"/>
      </rPr>
      <t xml:space="preserve">／兩項都 </t>
    </r>
    <r>
      <rPr>
        <sz val="10"/>
        <rFont val="Microsoft JhengHei"/>
        <family val="0"/>
        <charset val="1"/>
      </rPr>
      <t xml:space="preserve">C</t>
    </r>
  </si>
  <si>
    <r>
      <rPr>
        <sz val="10"/>
        <rFont val="Noto Sans CJK SC"/>
        <family val="2"/>
      </rPr>
      <t xml:space="preserve">言語知識・讀解有過線了，但分數還偏低，單字和文法都還不太熟，能過線應該是靠閱讀撐著的。建議先回到課本把 </t>
    </r>
    <r>
      <rPr>
        <sz val="10"/>
        <rFont val="Microsoft JhengHei"/>
        <family val="0"/>
        <charset val="1"/>
      </rPr>
      <t xml:space="preserve">N4 </t>
    </r>
    <r>
      <rPr>
        <sz val="10"/>
        <rFont val="Noto Sans CJK SC"/>
        <family val="2"/>
      </rPr>
      <t xml:space="preserve">的單字和文法確實補一輪，會比較實在。</t>
    </r>
  </si>
  <si>
    <r>
      <rPr>
        <sz val="10"/>
        <rFont val="Microsoft JhengHei"/>
        <family val="0"/>
        <charset val="1"/>
      </rPr>
      <t xml:space="preserve">N4|B_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中</t>
    </r>
    <r>
      <rPr>
        <sz val="10"/>
        <rFont val="Microsoft JhengHei"/>
        <family val="0"/>
        <charset val="1"/>
      </rPr>
      <t xml:space="preserve">|AA</t>
    </r>
  </si>
  <si>
    <r>
      <rPr>
        <sz val="10"/>
        <rFont val="Noto Sans CJK SC"/>
        <family val="2"/>
      </rPr>
      <t xml:space="preserve">言語知識・讀解 </t>
    </r>
    <r>
      <rPr>
        <sz val="10"/>
        <rFont val="Microsoft JhengHei"/>
        <family val="0"/>
        <charset val="1"/>
      </rPr>
      <t xml:space="preserve">60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89</t>
    </r>
    <r>
      <rPr>
        <sz val="10"/>
        <rFont val="Noto Sans CJK SC"/>
        <family val="2"/>
      </rPr>
      <t xml:space="preserve">／單字 </t>
    </r>
    <r>
      <rPr>
        <sz val="10"/>
        <rFont val="Microsoft JhengHei"/>
        <family val="0"/>
        <charset val="1"/>
      </rPr>
      <t xml:space="preserve">A</t>
    </r>
    <r>
      <rPr>
        <sz val="10"/>
        <rFont val="Noto Sans CJK SC"/>
        <family val="2"/>
      </rPr>
      <t xml:space="preserve">／文法 </t>
    </r>
    <r>
      <rPr>
        <sz val="10"/>
        <rFont val="Microsoft JhengHei"/>
        <family val="0"/>
        <charset val="1"/>
      </rPr>
      <t xml:space="preserve">A</t>
    </r>
  </si>
  <si>
    <r>
      <rPr>
        <sz val="10"/>
        <rFont val="Noto Sans CJK SC"/>
        <family val="2"/>
      </rPr>
      <t xml:space="preserve">言語知識・讀解這次表現蠻穩定的，單字和文法都掌握得不錯，基礎應該已經打得很穩。你可以試著開始閱讀長一點的文章，練習抓段落重點，慢慢接觸 </t>
    </r>
    <r>
      <rPr>
        <sz val="10"/>
        <rFont val="Microsoft JhengHei"/>
        <family val="0"/>
        <charset val="1"/>
      </rPr>
      <t xml:space="preserve">N3 </t>
    </r>
    <r>
      <rPr>
        <sz val="10"/>
        <rFont val="Noto Sans CJK SC"/>
        <family val="2"/>
      </rPr>
      <t xml:space="preserve">的內容會是個好時機。</t>
    </r>
  </si>
  <si>
    <r>
      <rPr>
        <sz val="10"/>
        <rFont val="Microsoft JhengHei"/>
        <family val="0"/>
        <charset val="1"/>
      </rPr>
      <t xml:space="preserve">N4|B_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中</t>
    </r>
    <r>
      <rPr>
        <sz val="10"/>
        <rFont val="Microsoft JhengHei"/>
        <family val="0"/>
        <charset val="1"/>
      </rPr>
      <t xml:space="preserve">|AB</t>
    </r>
  </si>
  <si>
    <r>
      <rPr>
        <sz val="10"/>
        <rFont val="Noto Sans CJK SC"/>
        <family val="2"/>
      </rPr>
      <t xml:space="preserve">言語知識・讀解 </t>
    </r>
    <r>
      <rPr>
        <sz val="10"/>
        <rFont val="Microsoft JhengHei"/>
        <family val="0"/>
        <charset val="1"/>
      </rPr>
      <t xml:space="preserve">60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89</t>
    </r>
    <r>
      <rPr>
        <sz val="10"/>
        <rFont val="Noto Sans CJK SC"/>
        <family val="2"/>
      </rPr>
      <t xml:space="preserve">／單字 </t>
    </r>
    <r>
      <rPr>
        <sz val="10"/>
        <rFont val="Microsoft JhengHei"/>
        <family val="0"/>
        <charset val="1"/>
      </rPr>
      <t xml:space="preserve">A</t>
    </r>
    <r>
      <rPr>
        <sz val="10"/>
        <rFont val="Noto Sans CJK SC"/>
        <family val="2"/>
      </rPr>
      <t xml:space="preserve">／文法 </t>
    </r>
    <r>
      <rPr>
        <sz val="10"/>
        <rFont val="Microsoft JhengHei"/>
        <family val="0"/>
        <charset val="1"/>
      </rPr>
      <t xml:space="preserve">B</t>
    </r>
  </si>
  <si>
    <r>
      <rPr>
        <sz val="10"/>
        <rFont val="Noto Sans CJK SC"/>
        <family val="2"/>
      </rPr>
      <t xml:space="preserve">言語知識・讀解這次表現蠻穩定的，單字沒什麼問題，文法還可以再練練。可以把常錯的句型整理起來再練一輪，同時慢慢接觸 </t>
    </r>
    <r>
      <rPr>
        <sz val="10"/>
        <rFont val="Microsoft JhengHei"/>
        <family val="0"/>
        <charset val="1"/>
      </rPr>
      <t xml:space="preserve">N3 </t>
    </r>
    <r>
      <rPr>
        <sz val="10"/>
        <rFont val="Noto Sans CJK SC"/>
        <family val="2"/>
      </rPr>
      <t xml:space="preserve">的文法，往上會比較順。</t>
    </r>
  </si>
  <si>
    <r>
      <rPr>
        <sz val="10"/>
        <rFont val="Microsoft JhengHei"/>
        <family val="0"/>
        <charset val="1"/>
      </rPr>
      <t xml:space="preserve">N4|B_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中</t>
    </r>
    <r>
      <rPr>
        <sz val="10"/>
        <rFont val="Microsoft JhengHei"/>
        <family val="0"/>
        <charset val="1"/>
      </rPr>
      <t xml:space="preserve">|BA</t>
    </r>
  </si>
  <si>
    <r>
      <rPr>
        <sz val="10"/>
        <rFont val="Noto Sans CJK SC"/>
        <family val="2"/>
      </rPr>
      <t xml:space="preserve">言語知識・讀解 </t>
    </r>
    <r>
      <rPr>
        <sz val="10"/>
        <rFont val="Microsoft JhengHei"/>
        <family val="0"/>
        <charset val="1"/>
      </rPr>
      <t xml:space="preserve">60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89</t>
    </r>
    <r>
      <rPr>
        <sz val="10"/>
        <rFont val="Noto Sans CJK SC"/>
        <family val="2"/>
      </rPr>
      <t xml:space="preserve">／單字 </t>
    </r>
    <r>
      <rPr>
        <sz val="10"/>
        <rFont val="Microsoft JhengHei"/>
        <family val="0"/>
        <charset val="1"/>
      </rPr>
      <t xml:space="preserve">B</t>
    </r>
    <r>
      <rPr>
        <sz val="10"/>
        <rFont val="Noto Sans CJK SC"/>
        <family val="2"/>
      </rPr>
      <t xml:space="preserve">／文法 </t>
    </r>
    <r>
      <rPr>
        <sz val="10"/>
        <rFont val="Microsoft JhengHei"/>
        <family val="0"/>
        <charset val="1"/>
      </rPr>
      <t xml:space="preserve">A</t>
    </r>
  </si>
  <si>
    <r>
      <rPr>
        <sz val="10"/>
        <rFont val="Noto Sans CJK SC"/>
        <family val="2"/>
      </rPr>
      <t xml:space="preserve">言語知識・讀解這次表現蠻穩定的，文法沒什麼問題，單字還可以再多累積一些。可以趁這段時間把單字量往上拉，搭配長一點的文章一起讀，</t>
    </r>
    <r>
      <rPr>
        <sz val="10"/>
        <rFont val="Microsoft JhengHei"/>
        <family val="0"/>
        <charset val="1"/>
      </rPr>
      <t xml:space="preserve">N3 </t>
    </r>
    <r>
      <rPr>
        <sz val="10"/>
        <rFont val="Noto Sans CJK SC"/>
        <family val="2"/>
      </rPr>
      <t xml:space="preserve">的單字會多很多，現在先累積會比較輕鬆。</t>
    </r>
  </si>
  <si>
    <r>
      <rPr>
        <sz val="10"/>
        <rFont val="Microsoft JhengHei"/>
        <family val="0"/>
        <charset val="1"/>
      </rPr>
      <t xml:space="preserve">N4|B_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中</t>
    </r>
    <r>
      <rPr>
        <sz val="10"/>
        <rFont val="Microsoft JhengHei"/>
        <family val="0"/>
        <charset val="1"/>
      </rPr>
      <t xml:space="preserve">|BB</t>
    </r>
  </si>
  <si>
    <r>
      <rPr>
        <sz val="10"/>
        <rFont val="Noto Sans CJK SC"/>
        <family val="2"/>
      </rPr>
      <t xml:space="preserve">言語知識・讀解 </t>
    </r>
    <r>
      <rPr>
        <sz val="10"/>
        <rFont val="Microsoft JhengHei"/>
        <family val="0"/>
        <charset val="1"/>
      </rPr>
      <t xml:space="preserve">60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89</t>
    </r>
    <r>
      <rPr>
        <sz val="10"/>
        <rFont val="Noto Sans CJK SC"/>
        <family val="2"/>
      </rPr>
      <t xml:space="preserve">／單字 </t>
    </r>
    <r>
      <rPr>
        <sz val="10"/>
        <rFont val="Microsoft JhengHei"/>
        <family val="0"/>
        <charset val="1"/>
      </rPr>
      <t xml:space="preserve">B</t>
    </r>
    <r>
      <rPr>
        <sz val="10"/>
        <rFont val="Noto Sans CJK SC"/>
        <family val="2"/>
      </rPr>
      <t xml:space="preserve">／文法 </t>
    </r>
    <r>
      <rPr>
        <sz val="10"/>
        <rFont val="Microsoft JhengHei"/>
        <family val="0"/>
        <charset val="1"/>
      </rPr>
      <t xml:space="preserve">B</t>
    </r>
  </si>
  <si>
    <r>
      <rPr>
        <sz val="10"/>
        <rFont val="Noto Sans CJK SC"/>
        <family val="2"/>
      </rPr>
      <t xml:space="preserve">言語知識・讀解這次表現蠻穩定的，不過單字和文法都還可以再練深一點，分數應該是靠整體語感撐起來的。建議把 </t>
    </r>
    <r>
      <rPr>
        <sz val="10"/>
        <rFont val="Microsoft JhengHei"/>
        <family val="0"/>
        <charset val="1"/>
      </rPr>
      <t xml:space="preserve">N4 </t>
    </r>
    <r>
      <rPr>
        <sz val="10"/>
        <rFont val="Noto Sans CJK SC"/>
        <family val="2"/>
      </rPr>
      <t xml:space="preserve">的基礎再過一輪，細節扎實了，往 </t>
    </r>
    <r>
      <rPr>
        <sz val="10"/>
        <rFont val="Microsoft JhengHei"/>
        <family val="0"/>
        <charset val="1"/>
      </rPr>
      <t xml:space="preserve">N3 </t>
    </r>
    <r>
      <rPr>
        <sz val="10"/>
        <rFont val="Noto Sans CJK SC"/>
        <family val="2"/>
      </rPr>
      <t xml:space="preserve">會比較踏實。</t>
    </r>
  </si>
  <si>
    <r>
      <rPr>
        <sz val="10"/>
        <rFont val="Microsoft JhengHei"/>
        <family val="0"/>
        <charset val="1"/>
      </rPr>
      <t xml:space="preserve">N4|B_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中</t>
    </r>
    <r>
      <rPr>
        <sz val="10"/>
        <rFont val="Microsoft JhengHei"/>
        <family val="0"/>
        <charset val="1"/>
      </rPr>
      <t xml:space="preserve">|C1</t>
    </r>
  </si>
  <si>
    <r>
      <rPr>
        <sz val="10"/>
        <rFont val="Noto Sans CJK SC"/>
        <family val="2"/>
      </rPr>
      <t xml:space="preserve">言語知識・讀解 </t>
    </r>
    <r>
      <rPr>
        <sz val="10"/>
        <rFont val="Microsoft JhengHei"/>
        <family val="0"/>
        <charset val="1"/>
      </rPr>
      <t xml:space="preserve">60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89</t>
    </r>
    <r>
      <rPr>
        <sz val="10"/>
        <rFont val="Noto Sans CJK SC"/>
        <family val="2"/>
      </rPr>
      <t xml:space="preserve">／單項 </t>
    </r>
    <r>
      <rPr>
        <sz val="10"/>
        <rFont val="Microsoft JhengHei"/>
        <family val="0"/>
        <charset val="1"/>
      </rPr>
      <t xml:space="preserve">C</t>
    </r>
    <r>
      <rPr>
        <sz val="10"/>
        <rFont val="Noto Sans CJK SC"/>
        <family val="2"/>
      </rPr>
      <t xml:space="preserve">（另一項 </t>
    </r>
    <r>
      <rPr>
        <sz val="10"/>
        <rFont val="Microsoft JhengHei"/>
        <family val="0"/>
        <charset val="1"/>
      </rPr>
      <t xml:space="preserve">A </t>
    </r>
    <r>
      <rPr>
        <sz val="10"/>
        <rFont val="Noto Sans CJK SC"/>
        <family val="2"/>
      </rPr>
      <t xml:space="preserve">或 </t>
    </r>
    <r>
      <rPr>
        <sz val="10"/>
        <rFont val="Microsoft JhengHei"/>
        <family val="0"/>
        <charset val="1"/>
      </rPr>
      <t xml:space="preserve">B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</si>
  <si>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言語知識・讀解整體表現不錯，不過〇〇這塊有點意外地弱，可能是這次剛好考到不熟的範圍。往 </t>
    </r>
    <r>
      <rPr>
        <sz val="10"/>
        <rFont val="Microsoft JhengHei"/>
        <family val="0"/>
        <charset val="1"/>
      </rPr>
      <t xml:space="preserve">N3 </t>
    </r>
    <r>
      <rPr>
        <sz val="10"/>
        <rFont val="Noto Sans CJK SC"/>
        <family val="2"/>
      </rPr>
      <t xml:space="preserve">之前先把〇〇補一補，上去會比較輕鬆。</t>
    </r>
  </si>
  <si>
    <r>
      <rPr>
        <sz val="10"/>
        <rFont val="Microsoft JhengHei"/>
        <family val="0"/>
        <charset val="1"/>
      </rPr>
      <t xml:space="preserve">N4|B_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中</t>
    </r>
    <r>
      <rPr>
        <sz val="10"/>
        <rFont val="Microsoft JhengHei"/>
        <family val="0"/>
        <charset val="1"/>
      </rPr>
      <t xml:space="preserve">|CC</t>
    </r>
  </si>
  <si>
    <r>
      <rPr>
        <sz val="10"/>
        <rFont val="Noto Sans CJK SC"/>
        <family val="2"/>
      </rPr>
      <t xml:space="preserve">言語知識・讀解 </t>
    </r>
    <r>
      <rPr>
        <sz val="10"/>
        <rFont val="Microsoft JhengHei"/>
        <family val="0"/>
        <charset val="1"/>
      </rPr>
      <t xml:space="preserve">60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89</t>
    </r>
    <r>
      <rPr>
        <sz val="10"/>
        <rFont val="Noto Sans CJK SC"/>
        <family val="2"/>
      </rPr>
      <t xml:space="preserve">／兩項都 </t>
    </r>
    <r>
      <rPr>
        <sz val="10"/>
        <rFont val="Microsoft JhengHei"/>
        <family val="0"/>
        <charset val="1"/>
      </rPr>
      <t xml:space="preserve">C</t>
    </r>
  </si>
  <si>
    <r>
      <rPr>
        <sz val="10"/>
        <rFont val="Noto Sans CJK SC"/>
        <family val="2"/>
      </rPr>
      <t xml:space="preserve">言語知識・讀解整體分數不錯，不過單字和文法都還不太熟，這種情況比較少見，可能是閱讀特別強撐起來的。往 </t>
    </r>
    <r>
      <rPr>
        <sz val="10"/>
        <rFont val="Microsoft JhengHei"/>
        <family val="0"/>
        <charset val="1"/>
      </rPr>
      <t xml:space="preserve">N3 </t>
    </r>
    <r>
      <rPr>
        <sz val="10"/>
        <rFont val="Noto Sans CJK SC"/>
        <family val="2"/>
      </rPr>
      <t xml:space="preserve">之前先把單字和文法補起來，會走得比較穩。</t>
    </r>
  </si>
  <si>
    <r>
      <rPr>
        <sz val="10"/>
        <rFont val="Microsoft JhengHei"/>
        <family val="0"/>
        <charset val="1"/>
      </rPr>
      <t xml:space="preserve">N4|B_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高</t>
    </r>
    <r>
      <rPr>
        <sz val="10"/>
        <rFont val="Microsoft JhengHei"/>
        <family val="0"/>
        <charset val="1"/>
      </rPr>
      <t xml:space="preserve">|AA</t>
    </r>
  </si>
  <si>
    <r>
      <rPr>
        <sz val="10"/>
        <rFont val="Noto Sans CJK SC"/>
        <family val="2"/>
      </rPr>
      <t xml:space="preserve">言語知識・讀解 </t>
    </r>
    <r>
      <rPr>
        <sz val="10"/>
        <rFont val="Microsoft JhengHei"/>
        <family val="0"/>
        <charset val="1"/>
      </rPr>
      <t xml:space="preserve">90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120</t>
    </r>
    <r>
      <rPr>
        <sz val="10"/>
        <rFont val="Noto Sans CJK SC"/>
        <family val="2"/>
      </rPr>
      <t xml:space="preserve">／單字 </t>
    </r>
    <r>
      <rPr>
        <sz val="10"/>
        <rFont val="Microsoft JhengHei"/>
        <family val="0"/>
        <charset val="1"/>
      </rPr>
      <t xml:space="preserve">A</t>
    </r>
    <r>
      <rPr>
        <sz val="10"/>
        <rFont val="Noto Sans CJK SC"/>
        <family val="2"/>
      </rPr>
      <t xml:space="preserve">／文法 </t>
    </r>
    <r>
      <rPr>
        <sz val="10"/>
        <rFont val="Microsoft JhengHei"/>
        <family val="0"/>
        <charset val="1"/>
      </rPr>
      <t xml:space="preserve">A</t>
    </r>
  </si>
  <si>
    <r>
      <rPr>
        <sz val="10"/>
        <rFont val="Noto Sans CJK SC"/>
        <family val="2"/>
      </rPr>
      <t xml:space="preserve">言語知識・讀解這次表現很好，單字、文法、閱讀都已經是你的強項了。這科可以直接用 </t>
    </r>
    <r>
      <rPr>
        <sz val="10"/>
        <rFont val="Microsoft JhengHei"/>
        <family val="0"/>
        <charset val="1"/>
      </rPr>
      <t xml:space="preserve">N3 </t>
    </r>
    <r>
      <rPr>
        <sz val="10"/>
        <rFont val="Noto Sans CJK SC"/>
        <family val="2"/>
      </rPr>
      <t xml:space="preserve">的材料來練，不用再回頭做 </t>
    </r>
    <r>
      <rPr>
        <sz val="10"/>
        <rFont val="Microsoft JhengHei"/>
        <family val="0"/>
        <charset val="1"/>
      </rPr>
      <t xml:space="preserve">N4 </t>
    </r>
    <r>
      <rPr>
        <sz val="10"/>
        <rFont val="Noto Sans CJK SC"/>
        <family val="2"/>
      </rPr>
      <t xml:space="preserve">的東西。</t>
    </r>
  </si>
  <si>
    <r>
      <rPr>
        <sz val="10"/>
        <rFont val="Microsoft JhengHei"/>
        <family val="0"/>
        <charset val="1"/>
      </rPr>
      <t xml:space="preserve">N4|B_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高</t>
    </r>
    <r>
      <rPr>
        <sz val="10"/>
        <rFont val="Microsoft JhengHei"/>
        <family val="0"/>
        <charset val="1"/>
      </rPr>
      <t xml:space="preserve">|AB</t>
    </r>
  </si>
  <si>
    <r>
      <rPr>
        <sz val="10"/>
        <rFont val="Noto Sans CJK SC"/>
        <family val="2"/>
      </rPr>
      <t xml:space="preserve">言語知識・讀解 </t>
    </r>
    <r>
      <rPr>
        <sz val="10"/>
        <rFont val="Microsoft JhengHei"/>
        <family val="0"/>
        <charset val="1"/>
      </rPr>
      <t xml:space="preserve">90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120</t>
    </r>
    <r>
      <rPr>
        <sz val="10"/>
        <rFont val="Noto Sans CJK SC"/>
        <family val="2"/>
      </rPr>
      <t xml:space="preserve">／單字 </t>
    </r>
    <r>
      <rPr>
        <sz val="10"/>
        <rFont val="Microsoft JhengHei"/>
        <family val="0"/>
        <charset val="1"/>
      </rPr>
      <t xml:space="preserve">A</t>
    </r>
    <r>
      <rPr>
        <sz val="10"/>
        <rFont val="Noto Sans CJK SC"/>
        <family val="2"/>
      </rPr>
      <t xml:space="preserve">／文法 </t>
    </r>
    <r>
      <rPr>
        <sz val="10"/>
        <rFont val="Microsoft JhengHei"/>
        <family val="0"/>
        <charset val="1"/>
      </rPr>
      <t xml:space="preserve">B</t>
    </r>
  </si>
  <si>
    <r>
      <rPr>
        <sz val="10"/>
        <rFont val="Noto Sans CJK SC"/>
        <family val="2"/>
      </rPr>
      <t xml:space="preserve">言語知識・讀解這次表現很好，文法雖然還可以再更熟一點，但整體已經很穩了。往 </t>
    </r>
    <r>
      <rPr>
        <sz val="10"/>
        <rFont val="Microsoft JhengHei"/>
        <family val="0"/>
        <charset val="1"/>
      </rPr>
      <t xml:space="preserve">N3 </t>
    </r>
    <r>
      <rPr>
        <sz val="10"/>
        <rFont val="Noto Sans CJK SC"/>
        <family val="2"/>
      </rPr>
      <t xml:space="preserve">的時候接續句型會變多，可以先從 </t>
    </r>
    <r>
      <rPr>
        <sz val="10"/>
        <rFont val="Microsoft JhengHei"/>
        <family val="0"/>
        <charset val="1"/>
      </rPr>
      <t xml:space="preserve">N3 </t>
    </r>
    <r>
      <rPr>
        <sz val="10"/>
        <rFont val="Noto Sans CJK SC"/>
        <family val="2"/>
      </rPr>
      <t xml:space="preserve">的文法開始接觸。</t>
    </r>
  </si>
  <si>
    <r>
      <rPr>
        <sz val="10"/>
        <rFont val="Microsoft JhengHei"/>
        <family val="0"/>
        <charset val="1"/>
      </rPr>
      <t xml:space="preserve">N4|B_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高</t>
    </r>
    <r>
      <rPr>
        <sz val="10"/>
        <rFont val="Microsoft JhengHei"/>
        <family val="0"/>
        <charset val="1"/>
      </rPr>
      <t xml:space="preserve">|BA</t>
    </r>
  </si>
  <si>
    <r>
      <rPr>
        <sz val="10"/>
        <rFont val="Noto Sans CJK SC"/>
        <family val="2"/>
      </rPr>
      <t xml:space="preserve">言語知識・讀解 </t>
    </r>
    <r>
      <rPr>
        <sz val="10"/>
        <rFont val="Microsoft JhengHei"/>
        <family val="0"/>
        <charset val="1"/>
      </rPr>
      <t xml:space="preserve">90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120</t>
    </r>
    <r>
      <rPr>
        <sz val="10"/>
        <rFont val="Noto Sans CJK SC"/>
        <family val="2"/>
      </rPr>
      <t xml:space="preserve">／單字 </t>
    </r>
    <r>
      <rPr>
        <sz val="10"/>
        <rFont val="Microsoft JhengHei"/>
        <family val="0"/>
        <charset val="1"/>
      </rPr>
      <t xml:space="preserve">B</t>
    </r>
    <r>
      <rPr>
        <sz val="10"/>
        <rFont val="Noto Sans CJK SC"/>
        <family val="2"/>
      </rPr>
      <t xml:space="preserve">／文法 </t>
    </r>
    <r>
      <rPr>
        <sz val="10"/>
        <rFont val="Microsoft JhengHei"/>
        <family val="0"/>
        <charset val="1"/>
      </rPr>
      <t xml:space="preserve">A</t>
    </r>
  </si>
  <si>
    <r>
      <rPr>
        <sz val="10"/>
        <rFont val="Noto Sans CJK SC"/>
        <family val="2"/>
      </rPr>
      <t xml:space="preserve">言語知識・讀解這次表現很好，單字雖然還可以再多累積，但整體已經很穩了。往 </t>
    </r>
    <r>
      <rPr>
        <sz val="10"/>
        <rFont val="Microsoft JhengHei"/>
        <family val="0"/>
        <charset val="1"/>
      </rPr>
      <t xml:space="preserve">N3 </t>
    </r>
    <r>
      <rPr>
        <sz val="10"/>
        <rFont val="Noto Sans CJK SC"/>
        <family val="2"/>
      </rPr>
      <t xml:space="preserve">的時候漢字詞會變多，可以先從 </t>
    </r>
    <r>
      <rPr>
        <sz val="10"/>
        <rFont val="Microsoft JhengHei"/>
        <family val="0"/>
        <charset val="1"/>
      </rPr>
      <t xml:space="preserve">N3 </t>
    </r>
    <r>
      <rPr>
        <sz val="10"/>
        <rFont val="Noto Sans CJK SC"/>
        <family val="2"/>
      </rPr>
      <t xml:space="preserve">的單字開始累積。</t>
    </r>
  </si>
  <si>
    <r>
      <rPr>
        <sz val="10"/>
        <rFont val="Microsoft JhengHei"/>
        <family val="0"/>
        <charset val="1"/>
      </rPr>
      <t xml:space="preserve">N4|B_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其他</t>
    </r>
  </si>
  <si>
    <r>
      <rPr>
        <sz val="10"/>
        <rFont val="Noto Sans CJK SC"/>
        <family val="2"/>
      </rPr>
      <t xml:space="preserve">言語知識・讀解 </t>
    </r>
    <r>
      <rPr>
        <sz val="10"/>
        <rFont val="Microsoft JhengHei"/>
        <family val="0"/>
        <charset val="1"/>
      </rPr>
      <t xml:space="preserve">90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120</t>
    </r>
    <r>
      <rPr>
        <sz val="10"/>
        <rFont val="Noto Sans CJK SC"/>
        <family val="2"/>
      </rPr>
      <t xml:space="preserve">／高段其他組合（備用）</t>
    </r>
  </si>
  <si>
    <r>
      <rPr>
        <sz val="10"/>
        <rFont val="Noto Sans CJK SC"/>
        <family val="2"/>
      </rPr>
      <t xml:space="preserve">言語知識・讀解分數很好，不過單字或文法有一項看起來還不太穩，可能是這次剛好考到不熟的範圍，往 </t>
    </r>
    <r>
      <rPr>
        <sz val="10"/>
        <rFont val="Microsoft JhengHei"/>
        <family val="0"/>
        <charset val="1"/>
      </rPr>
      <t xml:space="preserve">N3 </t>
    </r>
    <r>
      <rPr>
        <sz val="10"/>
        <rFont val="Noto Sans CJK SC"/>
        <family val="2"/>
      </rPr>
      <t xml:space="preserve">之前順手補一下就好。</t>
    </r>
  </si>
  <si>
    <r>
      <rPr>
        <sz val="10"/>
        <rFont val="Microsoft JhengHei"/>
        <family val="0"/>
        <charset val="1"/>
      </rPr>
      <t xml:space="preserve">N4|C_</t>
    </r>
    <r>
      <rPr>
        <sz val="10"/>
        <rFont val="Noto Sans CJK SC"/>
        <family val="2"/>
      </rPr>
      <t xml:space="preserve">聽解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未達</t>
    </r>
    <r>
      <rPr>
        <sz val="10"/>
        <rFont val="Microsoft JhengHei"/>
        <family val="0"/>
        <charset val="1"/>
      </rPr>
      <t xml:space="preserve">|-</t>
    </r>
  </si>
  <si>
    <r>
      <rPr>
        <sz val="10"/>
        <rFont val="Noto Sans CJK SC"/>
        <family val="2"/>
      </rPr>
      <t xml:space="preserve">聽力的分數比較低，還沒過線，可能是 </t>
    </r>
    <r>
      <rPr>
        <sz val="10"/>
        <rFont val="Microsoft JhengHei"/>
        <family val="0"/>
        <charset val="1"/>
      </rPr>
      <t xml:space="preserve">N4 </t>
    </r>
    <r>
      <rPr>
        <sz val="10"/>
        <rFont val="Noto Sans CJK SC"/>
        <family val="2"/>
      </rPr>
      <t xml:space="preserve">的對話比 </t>
    </r>
    <r>
      <rPr>
        <sz val="10"/>
        <rFont val="Microsoft JhengHei"/>
        <family val="0"/>
        <charset val="1"/>
      </rPr>
      <t xml:space="preserve">N5 </t>
    </r>
    <r>
      <rPr>
        <sz val="10"/>
        <rFont val="Noto Sans CJK SC"/>
        <family val="2"/>
      </rPr>
      <t xml:space="preserve">長一些，句子一長就跟不上，或者動詞變化一聽過去就抓不到。建議可以先看文字稿把內容看懂，再搭配音檔反覆跟讀，讓耳朵慢慢習慣這個長度。</t>
    </r>
  </si>
  <si>
    <r>
      <rPr>
        <sz val="10"/>
        <rFont val="Microsoft JhengHei"/>
        <family val="0"/>
        <charset val="1"/>
      </rPr>
      <t xml:space="preserve">N4|C_</t>
    </r>
    <r>
      <rPr>
        <sz val="10"/>
        <rFont val="Noto Sans CJK SC"/>
        <family val="2"/>
      </rPr>
      <t xml:space="preserve">聽解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偏低</t>
    </r>
    <r>
      <rPr>
        <sz val="10"/>
        <rFont val="Microsoft JhengHei"/>
        <family val="0"/>
        <charset val="1"/>
      </rPr>
      <t xml:space="preserve">|-</t>
    </r>
  </si>
  <si>
    <t xml:space="preserve">你已經能聽懂不少內容了，是很好的開始！只是對話一長還是容易漏掉重點。建議搭配字幕或文字稿練習，邊聽邊對照，特別注意題目問的是誰、要做什麼，會更有幫助。</t>
  </si>
  <si>
    <r>
      <rPr>
        <sz val="10"/>
        <rFont val="Microsoft JhengHei"/>
        <family val="0"/>
        <charset val="1"/>
      </rPr>
      <t xml:space="preserve">N4|C_</t>
    </r>
    <r>
      <rPr>
        <sz val="10"/>
        <rFont val="Noto Sans CJK SC"/>
        <family val="2"/>
      </rPr>
      <t xml:space="preserve">聽解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中</t>
    </r>
    <r>
      <rPr>
        <sz val="10"/>
        <rFont val="Microsoft JhengHei"/>
        <family val="0"/>
        <charset val="1"/>
      </rPr>
      <t xml:space="preserve">|-</t>
    </r>
  </si>
  <si>
    <r>
      <rPr>
        <sz val="10"/>
        <rFont val="Noto Sans CJK SC"/>
        <family val="2"/>
      </rPr>
      <t xml:space="preserve">這次的聽力表現不錯，</t>
    </r>
    <r>
      <rPr>
        <sz val="10"/>
        <rFont val="Microsoft JhengHei"/>
        <family val="0"/>
        <charset val="1"/>
      </rPr>
      <t xml:space="preserve">N4 </t>
    </r>
    <r>
      <rPr>
        <sz val="10"/>
        <rFont val="Noto Sans CJK SC"/>
        <family val="2"/>
      </rPr>
      <t xml:space="preserve">的對話大部分都能掌握了。你可以開始嘗試不靠字幕聽懂意思，或找語速自然一點的素材，像是簡單的日劇片段或 </t>
    </r>
    <r>
      <rPr>
        <sz val="10"/>
        <rFont val="Microsoft JhengHei"/>
        <family val="0"/>
        <charset val="1"/>
      </rPr>
      <t xml:space="preserve">podcast</t>
    </r>
    <r>
      <rPr>
        <sz val="10"/>
        <rFont val="Noto Sans CJK SC"/>
        <family val="2"/>
      </rPr>
      <t xml:space="preserve">，幫助提升語感和反應。</t>
    </r>
  </si>
  <si>
    <r>
      <rPr>
        <sz val="10"/>
        <rFont val="Microsoft JhengHei"/>
        <family val="0"/>
        <charset val="1"/>
      </rPr>
      <t xml:space="preserve">N4|C_</t>
    </r>
    <r>
      <rPr>
        <sz val="10"/>
        <rFont val="Noto Sans CJK SC"/>
        <family val="2"/>
      </rPr>
      <t xml:space="preserve">聽解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高</t>
    </r>
    <r>
      <rPr>
        <sz val="10"/>
        <rFont val="Microsoft JhengHei"/>
        <family val="0"/>
        <charset val="1"/>
      </rPr>
      <t xml:space="preserve">|-</t>
    </r>
  </si>
  <si>
    <r>
      <rPr>
        <sz val="10"/>
        <rFont val="Noto Sans CJK SC"/>
        <family val="2"/>
      </rPr>
      <t xml:space="preserve">聽力是你的強項，</t>
    </r>
    <r>
      <rPr>
        <sz val="10"/>
        <rFont val="Microsoft JhengHei"/>
        <family val="0"/>
        <charset val="1"/>
      </rPr>
      <t xml:space="preserve">N4 </t>
    </r>
    <r>
      <rPr>
        <sz val="10"/>
        <rFont val="Noto Sans CJK SC"/>
        <family val="2"/>
      </rPr>
      <t xml:space="preserve">的聽解對你來說已經很輕鬆了。可以直接接觸 </t>
    </r>
    <r>
      <rPr>
        <sz val="10"/>
        <rFont val="Microsoft JhengHei"/>
        <family val="0"/>
        <charset val="1"/>
      </rPr>
      <t xml:space="preserve">N3 </t>
    </r>
    <r>
      <rPr>
        <sz val="10"/>
        <rFont val="Noto Sans CJK SC"/>
        <family val="2"/>
      </rPr>
      <t xml:space="preserve">的聽力，試試看即時應答和比較長的對話，實力到哪裡很快就會知道。</t>
    </r>
  </si>
  <si>
    <r>
      <rPr>
        <sz val="10"/>
        <rFont val="Microsoft JhengHei"/>
        <family val="0"/>
        <charset val="1"/>
      </rPr>
      <t xml:space="preserve">N5|A_</t>
    </r>
    <r>
      <rPr>
        <sz val="10"/>
        <rFont val="Noto Sans CJK SC"/>
        <family val="2"/>
      </rPr>
      <t xml:space="preserve">總判定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單科未達</t>
    </r>
    <r>
      <rPr>
        <sz val="10"/>
        <rFont val="Microsoft JhengHei"/>
        <family val="0"/>
        <charset val="1"/>
      </rPr>
      <t xml:space="preserve">|-</t>
    </r>
  </si>
  <si>
    <r>
      <rPr>
        <sz val="10"/>
        <rFont val="Noto Sans CJK SC"/>
        <family val="2"/>
      </rPr>
      <t xml:space="preserve">總分≥</t>
    </r>
    <r>
      <rPr>
        <sz val="10"/>
        <rFont val="Microsoft JhengHei"/>
        <family val="0"/>
        <charset val="1"/>
      </rPr>
      <t xml:space="preserve">80 </t>
    </r>
    <r>
      <rPr>
        <sz val="10"/>
        <rFont val="Noto Sans CJK SC"/>
        <family val="2"/>
      </rPr>
      <t xml:space="preserve">但有一科未達門檻</t>
    </r>
  </si>
  <si>
    <r>
      <rPr>
        <sz val="10"/>
        <rFont val="Noto Sans CJK SC"/>
        <family val="2"/>
      </rPr>
      <t xml:space="preserve">現在先集中把那一科補起來，其他科維持住，</t>
    </r>
    <r>
      <rPr>
        <sz val="10"/>
        <rFont val="Microsoft JhengHei"/>
        <family val="0"/>
        <charset val="1"/>
      </rPr>
      <t xml:space="preserve">12 </t>
    </r>
    <r>
      <rPr>
        <sz val="10"/>
        <rFont val="Noto Sans CJK SC"/>
        <family val="2"/>
      </rPr>
      <t xml:space="preserve">月再考一次 </t>
    </r>
    <r>
      <rPr>
        <sz val="10"/>
        <rFont val="Microsoft JhengHei"/>
        <family val="0"/>
        <charset val="1"/>
      </rPr>
      <t xml:space="preserve">N5</t>
    </r>
    <r>
      <rPr>
        <sz val="10"/>
        <rFont val="Noto Sans CJK SC"/>
        <family val="2"/>
      </rPr>
      <t xml:space="preserve">，應該就能順利過了。</t>
    </r>
  </si>
  <si>
    <r>
      <rPr>
        <sz val="10"/>
        <rFont val="Microsoft JhengHei"/>
        <family val="0"/>
        <charset val="1"/>
      </rPr>
      <t xml:space="preserve">N5|A_</t>
    </r>
    <r>
      <rPr>
        <sz val="10"/>
        <rFont val="Noto Sans CJK SC"/>
        <family val="2"/>
      </rPr>
      <t xml:space="preserve">總判定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差</t>
    </r>
    <r>
      <rPr>
        <sz val="10"/>
        <rFont val="Microsoft JhengHei"/>
        <family val="0"/>
        <charset val="1"/>
      </rPr>
      <t xml:space="preserve">20+|-</t>
    </r>
  </si>
  <si>
    <r>
      <rPr>
        <sz val="10"/>
        <rFont val="Noto Sans CJK SC"/>
        <family val="2"/>
      </rPr>
      <t xml:space="preserve">總分 ≤ </t>
    </r>
    <r>
      <rPr>
        <sz val="10"/>
        <rFont val="Microsoft JhengHei"/>
        <family val="0"/>
        <charset val="1"/>
      </rPr>
      <t xml:space="preserve">60</t>
    </r>
    <r>
      <rPr>
        <sz val="10"/>
        <rFont val="Noto Sans CJK SC"/>
        <family val="2"/>
      </rPr>
      <t xml:space="preserve">（差 </t>
    </r>
    <r>
      <rPr>
        <sz val="10"/>
        <rFont val="Microsoft JhengHei"/>
        <family val="0"/>
        <charset val="1"/>
      </rPr>
      <t xml:space="preserve">20 </t>
    </r>
    <r>
      <rPr>
        <sz val="10"/>
        <rFont val="Noto Sans CJK SC"/>
        <family val="2"/>
      </rPr>
      <t xml:space="preserve">分以上）</t>
    </r>
  </si>
  <si>
    <r>
      <rPr>
        <sz val="10"/>
        <rFont val="Noto Sans CJK SC"/>
        <family val="2"/>
      </rPr>
      <t xml:space="preserve">你願意把成績交出來，這一步就很值得肯定。這次的分數離及格還有一段距離，表示你對 </t>
    </r>
    <r>
      <rPr>
        <sz val="10"/>
        <rFont val="Microsoft JhengHei"/>
        <family val="0"/>
        <charset val="1"/>
      </rPr>
      <t xml:space="preserve">N5 </t>
    </r>
    <r>
      <rPr>
        <sz val="10"/>
        <rFont val="Noto Sans CJK SC"/>
        <family val="2"/>
      </rPr>
      <t xml:space="preserve">的單字、文法和聽力都還沒那麼熟練。</t>
    </r>
  </si>
  <si>
    <r>
      <rPr>
        <sz val="10"/>
        <rFont val="Noto Sans CJK SC"/>
        <family val="2"/>
      </rPr>
      <t xml:space="preserve">現在先不要急，照上面的方向慢慢補，</t>
    </r>
    <r>
      <rPr>
        <sz val="10"/>
        <rFont val="Microsoft JhengHei"/>
        <family val="0"/>
        <charset val="1"/>
      </rPr>
      <t xml:space="preserve">12 </t>
    </r>
    <r>
      <rPr>
        <sz val="10"/>
        <rFont val="Noto Sans CJK SC"/>
        <family val="2"/>
      </rPr>
      <t xml:space="preserve">月再考一次 </t>
    </r>
    <r>
      <rPr>
        <sz val="10"/>
        <rFont val="Microsoft JhengHei"/>
        <family val="0"/>
        <charset val="1"/>
      </rPr>
      <t xml:space="preserve">N5</t>
    </r>
    <r>
      <rPr>
        <sz val="10"/>
        <rFont val="Noto Sans CJK SC"/>
        <family val="2"/>
      </rPr>
      <t xml:space="preserve">，會是比較實在的做法。</t>
    </r>
  </si>
  <si>
    <r>
      <rPr>
        <sz val="10"/>
        <rFont val="Microsoft JhengHei"/>
        <family val="0"/>
        <charset val="1"/>
      </rPr>
      <t xml:space="preserve">N5|A_</t>
    </r>
    <r>
      <rPr>
        <sz val="10"/>
        <rFont val="Noto Sans CJK SC"/>
        <family val="2"/>
      </rPr>
      <t xml:space="preserve">總判定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差</t>
    </r>
    <r>
      <rPr>
        <sz val="10"/>
        <rFont val="Microsoft JhengHei"/>
        <family val="0"/>
        <charset val="1"/>
      </rPr>
      <t xml:space="preserve">1-19|-</t>
    </r>
  </si>
  <si>
    <r>
      <rPr>
        <sz val="10"/>
        <rFont val="Noto Sans CJK SC"/>
        <family val="2"/>
      </rPr>
      <t xml:space="preserve">總分 </t>
    </r>
    <r>
      <rPr>
        <sz val="10"/>
        <rFont val="Microsoft JhengHei"/>
        <family val="0"/>
        <charset val="1"/>
      </rPr>
      <t xml:space="preserve">61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79</t>
    </r>
    <r>
      <rPr>
        <sz val="10"/>
        <rFont val="Noto Sans CJK SC"/>
        <family val="2"/>
      </rPr>
      <t xml:space="preserve">（差 </t>
    </r>
    <r>
      <rPr>
        <sz val="10"/>
        <rFont val="Microsoft JhengHei"/>
        <family val="0"/>
        <charset val="1"/>
      </rPr>
      <t xml:space="preserve">1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19 </t>
    </r>
    <r>
      <rPr>
        <sz val="10"/>
        <rFont val="Noto Sans CJK SC"/>
        <family val="2"/>
      </rPr>
      <t xml:space="preserve">分）</t>
    </r>
  </si>
  <si>
    <r>
      <rPr>
        <sz val="10"/>
        <rFont val="Noto Sans CJK SC"/>
        <family val="2"/>
      </rPr>
      <t xml:space="preserve">這次其實只差一點點就及格了，代表你 </t>
    </r>
    <r>
      <rPr>
        <sz val="10"/>
        <rFont val="Microsoft JhengHei"/>
        <family val="0"/>
        <charset val="1"/>
      </rPr>
      <t xml:space="preserve">N5 </t>
    </r>
    <r>
      <rPr>
        <sz val="10"/>
        <rFont val="Noto Sans CJK SC"/>
        <family val="2"/>
      </rPr>
      <t xml:space="preserve">的基礎已經有了，只是還不太穩。</t>
    </r>
  </si>
  <si>
    <r>
      <rPr>
        <sz val="10"/>
        <rFont val="Noto Sans CJK SC"/>
        <family val="2"/>
      </rPr>
      <t xml:space="preserve">這種差距通常再練一輪就跨得過去，照上面的方向補一補，</t>
    </r>
    <r>
      <rPr>
        <sz val="10"/>
        <rFont val="Microsoft JhengHei"/>
        <family val="0"/>
        <charset val="1"/>
      </rPr>
      <t xml:space="preserve">12 </t>
    </r>
    <r>
      <rPr>
        <sz val="10"/>
        <rFont val="Noto Sans CJK SC"/>
        <family val="2"/>
      </rPr>
      <t xml:space="preserve">月再考一次 </t>
    </r>
    <r>
      <rPr>
        <sz val="10"/>
        <rFont val="Microsoft JhengHei"/>
        <family val="0"/>
        <charset val="1"/>
      </rPr>
      <t xml:space="preserve">N5</t>
    </r>
    <r>
      <rPr>
        <sz val="10"/>
        <rFont val="Noto Sans CJK SC"/>
        <family val="2"/>
      </rPr>
      <t xml:space="preserve">，不用太擔心。</t>
    </r>
  </si>
  <si>
    <r>
      <rPr>
        <sz val="10"/>
        <rFont val="Microsoft JhengHei"/>
        <family val="0"/>
        <charset val="1"/>
      </rPr>
      <t xml:space="preserve">N5|A_</t>
    </r>
    <r>
      <rPr>
        <sz val="10"/>
        <rFont val="Noto Sans CJK SC"/>
        <family val="2"/>
      </rPr>
      <t xml:space="preserve">總判定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過</t>
    </r>
    <r>
      <rPr>
        <sz val="10"/>
        <rFont val="Microsoft JhengHei"/>
        <family val="0"/>
        <charset val="1"/>
      </rPr>
      <t xml:space="preserve">0-14|-</t>
    </r>
  </si>
  <si>
    <r>
      <rPr>
        <sz val="10"/>
        <rFont val="Noto Sans CJK SC"/>
        <family val="2"/>
      </rPr>
      <t xml:space="preserve">總分 </t>
    </r>
    <r>
      <rPr>
        <sz val="10"/>
        <rFont val="Microsoft JhengHei"/>
        <family val="0"/>
        <charset val="1"/>
      </rPr>
      <t xml:space="preserve">80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94</t>
    </r>
    <r>
      <rPr>
        <sz val="10"/>
        <rFont val="Noto Sans CJK SC"/>
        <family val="2"/>
      </rPr>
      <t xml:space="preserve">（合格，多 </t>
    </r>
    <r>
      <rPr>
        <sz val="10"/>
        <rFont val="Microsoft JhengHei"/>
        <family val="0"/>
        <charset val="1"/>
      </rPr>
      <t xml:space="preserve">0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14 </t>
    </r>
    <r>
      <rPr>
        <sz val="10"/>
        <rFont val="Noto Sans CJK SC"/>
        <family val="2"/>
      </rPr>
      <t xml:space="preserve">分）</t>
    </r>
  </si>
  <si>
    <r>
      <rPr>
        <sz val="10"/>
        <rFont val="Microsoft JhengHei"/>
        <family val="0"/>
        <charset val="1"/>
      </rPr>
      <t xml:space="preserve">N5 </t>
    </r>
    <r>
      <rPr>
        <sz val="10"/>
        <rFont val="Noto Sans CJK SC"/>
        <family val="2"/>
      </rPr>
      <t xml:space="preserve">可以再練深一點，</t>
    </r>
    <r>
      <rPr>
        <sz val="10"/>
        <rFont val="Microsoft JhengHei"/>
        <family val="0"/>
        <charset val="1"/>
      </rPr>
      <t xml:space="preserve">12 </t>
    </r>
    <r>
      <rPr>
        <sz val="10"/>
        <rFont val="Noto Sans CJK SC"/>
        <family val="2"/>
      </rPr>
      <t xml:space="preserve">月同級再考一次把分數考穩；如果想直接挑戰 </t>
    </r>
    <r>
      <rPr>
        <sz val="10"/>
        <rFont val="Microsoft JhengHei"/>
        <family val="0"/>
        <charset val="1"/>
      </rPr>
      <t xml:space="preserve">N4 </t>
    </r>
    <r>
      <rPr>
        <sz val="10"/>
        <rFont val="Noto Sans CJK SC"/>
        <family val="2"/>
      </rPr>
      <t xml:space="preserve">也可以，只是要有心理準備，這幾個月得下多一點功夫。</t>
    </r>
  </si>
  <si>
    <r>
      <rPr>
        <sz val="10"/>
        <rFont val="Microsoft JhengHei"/>
        <family val="0"/>
        <charset val="1"/>
      </rPr>
      <t xml:space="preserve">N5|A_</t>
    </r>
    <r>
      <rPr>
        <sz val="10"/>
        <rFont val="Noto Sans CJK SC"/>
        <family val="2"/>
      </rPr>
      <t xml:space="preserve">總判定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過</t>
    </r>
    <r>
      <rPr>
        <sz val="10"/>
        <rFont val="Microsoft JhengHei"/>
        <family val="0"/>
        <charset val="1"/>
      </rPr>
      <t xml:space="preserve">15-39|-</t>
    </r>
  </si>
  <si>
    <r>
      <rPr>
        <sz val="10"/>
        <rFont val="Noto Sans CJK SC"/>
        <family val="2"/>
      </rPr>
      <t xml:space="preserve">總分 </t>
    </r>
    <r>
      <rPr>
        <sz val="10"/>
        <rFont val="Microsoft JhengHei"/>
        <family val="0"/>
        <charset val="1"/>
      </rPr>
      <t xml:space="preserve">95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119</t>
    </r>
    <r>
      <rPr>
        <sz val="10"/>
        <rFont val="Noto Sans CJK SC"/>
        <family val="2"/>
      </rPr>
      <t xml:space="preserve">（合格，多 </t>
    </r>
    <r>
      <rPr>
        <sz val="10"/>
        <rFont val="Microsoft JhengHei"/>
        <family val="0"/>
        <charset val="1"/>
      </rPr>
      <t xml:space="preserve">15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39 </t>
    </r>
    <r>
      <rPr>
        <sz val="10"/>
        <rFont val="Noto Sans CJK SC"/>
        <family val="2"/>
      </rPr>
      <t xml:space="preserve">分）</t>
    </r>
  </si>
  <si>
    <r>
      <rPr>
        <sz val="10"/>
        <rFont val="Noto Sans CJK SC"/>
        <family val="2"/>
      </rPr>
      <t xml:space="preserve">恭喜合格！而且是穩穩地過，</t>
    </r>
    <r>
      <rPr>
        <sz val="10"/>
        <rFont val="Microsoft JhengHei"/>
        <family val="0"/>
        <charset val="1"/>
      </rPr>
      <t xml:space="preserve">N5 </t>
    </r>
    <r>
      <rPr>
        <sz val="10"/>
        <rFont val="Noto Sans CJK SC"/>
        <family val="2"/>
      </rPr>
      <t xml:space="preserve">的內容已經掌握得不錯了。</t>
    </r>
  </si>
  <si>
    <r>
      <rPr>
        <sz val="10"/>
        <rFont val="Noto Sans CJK SC"/>
        <family val="2"/>
      </rPr>
      <t xml:space="preserve">現在可以開始慢慢接觸 </t>
    </r>
    <r>
      <rPr>
        <sz val="10"/>
        <rFont val="Microsoft JhengHei"/>
        <family val="0"/>
        <charset val="1"/>
      </rPr>
      <t xml:space="preserve">N4 </t>
    </r>
    <r>
      <rPr>
        <sz val="10"/>
        <rFont val="Noto Sans CJK SC"/>
        <family val="2"/>
      </rPr>
      <t xml:space="preserve">的內容，</t>
    </r>
    <r>
      <rPr>
        <sz val="10"/>
        <rFont val="Microsoft JhengHei"/>
        <family val="0"/>
        <charset val="1"/>
      </rPr>
      <t xml:space="preserve">12 </t>
    </r>
    <r>
      <rPr>
        <sz val="10"/>
        <rFont val="Noto Sans CJK SC"/>
        <family val="2"/>
      </rPr>
      <t xml:space="preserve">月直接報 </t>
    </r>
    <r>
      <rPr>
        <sz val="10"/>
        <rFont val="Microsoft JhengHei"/>
        <family val="0"/>
        <charset val="1"/>
      </rPr>
      <t xml:space="preserve">N4</t>
    </r>
    <r>
      <rPr>
        <sz val="10"/>
        <rFont val="Noto Sans CJK SC"/>
        <family val="2"/>
      </rPr>
      <t xml:space="preserve">，時間剛剛好。</t>
    </r>
  </si>
  <si>
    <r>
      <rPr>
        <sz val="10"/>
        <rFont val="Microsoft JhengHei"/>
        <family val="0"/>
        <charset val="1"/>
      </rPr>
      <t xml:space="preserve">N5|A_</t>
    </r>
    <r>
      <rPr>
        <sz val="10"/>
        <rFont val="Noto Sans CJK SC"/>
        <family val="2"/>
      </rPr>
      <t xml:space="preserve">總判定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過</t>
    </r>
    <r>
      <rPr>
        <sz val="10"/>
        <rFont val="Microsoft JhengHei"/>
        <family val="0"/>
        <charset val="1"/>
      </rPr>
      <t xml:space="preserve">40+|-</t>
    </r>
  </si>
  <si>
    <r>
      <rPr>
        <sz val="10"/>
        <rFont val="Noto Sans CJK SC"/>
        <family val="2"/>
      </rPr>
      <t xml:space="preserve">總分 ≥ </t>
    </r>
    <r>
      <rPr>
        <sz val="10"/>
        <rFont val="Microsoft JhengHei"/>
        <family val="0"/>
        <charset val="1"/>
      </rPr>
      <t xml:space="preserve">120</t>
    </r>
    <r>
      <rPr>
        <sz val="10"/>
        <rFont val="Noto Sans CJK SC"/>
        <family val="2"/>
      </rPr>
      <t xml:space="preserve">（合格，多 </t>
    </r>
    <r>
      <rPr>
        <sz val="10"/>
        <rFont val="Microsoft JhengHei"/>
        <family val="0"/>
        <charset val="1"/>
      </rPr>
      <t xml:space="preserve">40 </t>
    </r>
    <r>
      <rPr>
        <sz val="10"/>
        <rFont val="Noto Sans CJK SC"/>
        <family val="2"/>
      </rPr>
      <t xml:space="preserve">分以上）</t>
    </r>
  </si>
  <si>
    <r>
      <rPr>
        <sz val="10"/>
        <rFont val="Noto Sans CJK SC"/>
        <family val="2"/>
      </rPr>
      <t xml:space="preserve">恭喜，這次的成績很不錯，</t>
    </r>
    <r>
      <rPr>
        <sz val="10"/>
        <rFont val="Microsoft JhengHei"/>
        <family val="0"/>
        <charset val="1"/>
      </rPr>
      <t xml:space="preserve">N5 </t>
    </r>
    <r>
      <rPr>
        <sz val="10"/>
        <rFont val="Noto Sans CJK SC"/>
        <family val="2"/>
      </rPr>
      <t xml:space="preserve">對你來說已經沒什麼問題了。</t>
    </r>
  </si>
  <si>
    <r>
      <rPr>
        <sz val="10"/>
        <rFont val="Microsoft JhengHei"/>
        <family val="0"/>
        <charset val="1"/>
      </rPr>
      <t xml:space="preserve">12 </t>
    </r>
    <r>
      <rPr>
        <sz val="10"/>
        <rFont val="Noto Sans CJK SC"/>
        <family val="2"/>
      </rPr>
      <t xml:space="preserve">月直接報 </t>
    </r>
    <r>
      <rPr>
        <sz val="10"/>
        <rFont val="Microsoft JhengHei"/>
        <family val="0"/>
        <charset val="1"/>
      </rPr>
      <t xml:space="preserve">N4</t>
    </r>
    <r>
      <rPr>
        <sz val="10"/>
        <rFont val="Noto Sans CJK SC"/>
        <family val="2"/>
      </rPr>
      <t xml:space="preserve">，以你現在的程度，準備起來會很順的。</t>
    </r>
  </si>
  <si>
    <r>
      <rPr>
        <sz val="10"/>
        <rFont val="Microsoft JhengHei"/>
        <family val="0"/>
        <charset val="1"/>
      </rPr>
      <t xml:space="preserve">N5|B_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未達</t>
    </r>
    <r>
      <rPr>
        <sz val="10"/>
        <rFont val="Microsoft JhengHei"/>
        <family val="0"/>
        <charset val="1"/>
      </rPr>
      <t xml:space="preserve">|AA</t>
    </r>
  </si>
  <si>
    <r>
      <rPr>
        <sz val="10"/>
        <rFont val="Microsoft JhengHei"/>
        <family val="0"/>
        <charset val="1"/>
      </rPr>
      <t xml:space="preserve">N5|B_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未達</t>
    </r>
    <r>
      <rPr>
        <sz val="10"/>
        <rFont val="Microsoft JhengHei"/>
        <family val="0"/>
        <charset val="1"/>
      </rPr>
      <t xml:space="preserve">|AB</t>
    </r>
  </si>
  <si>
    <t xml:space="preserve">言語知識・讀解這科的分數比較低，還沒過線，單字的部分你掌握得不錯，文法比較弱一些，句型一多可能就有點混。建議可以先把常錯的句型整理出來，每個多造幾個句子練熟，等句子看得穩了，再慢慢加入短文閱讀，幫助語感回穩。</t>
  </si>
  <si>
    <r>
      <rPr>
        <sz val="10"/>
        <rFont val="Microsoft JhengHei"/>
        <family val="0"/>
        <charset val="1"/>
      </rPr>
      <t xml:space="preserve">N5|B_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未達</t>
    </r>
    <r>
      <rPr>
        <sz val="10"/>
        <rFont val="Microsoft JhengHei"/>
        <family val="0"/>
        <charset val="1"/>
      </rPr>
      <t xml:space="preserve">|BA</t>
    </r>
  </si>
  <si>
    <t xml:space="preserve">言語知識・讀解這科的分數比較低，還沒過線，文法的部分掌握得還可以，單字比較弱一些，看文章的時候可能常常卡在生字上。建議可以每天固定背一小批單字，搭配例句一起記，字認得多了，閱讀自然會跟上來。</t>
  </si>
  <si>
    <r>
      <rPr>
        <sz val="10"/>
        <rFont val="Microsoft JhengHei"/>
        <family val="0"/>
        <charset val="1"/>
      </rPr>
      <t xml:space="preserve">N5|B_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未達</t>
    </r>
    <r>
      <rPr>
        <sz val="10"/>
        <rFont val="Microsoft JhengHei"/>
        <family val="0"/>
        <charset val="1"/>
      </rPr>
      <t xml:space="preserve">|BB</t>
    </r>
  </si>
  <si>
    <t xml:space="preserve">言語知識・讀解這科的分數比較低，還沒過線，表示你在文法、單字和閱讀這塊都還沒那麼熟練。建議可以先複習基本句型和常見單字，再慢慢加入短文閱讀練習，幫助語感回穩。</t>
  </si>
  <si>
    <r>
      <rPr>
        <sz val="10"/>
        <rFont val="Microsoft JhengHei"/>
        <family val="0"/>
        <charset val="1"/>
      </rPr>
      <t xml:space="preserve">N5|B_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未達</t>
    </r>
    <r>
      <rPr>
        <sz val="10"/>
        <rFont val="Microsoft JhengHei"/>
        <family val="0"/>
        <charset val="1"/>
      </rPr>
      <t xml:space="preserve">|C1</t>
    </r>
  </si>
  <si>
    <r>
      <rPr>
        <sz val="10"/>
        <rFont val="Noto Sans CJK SC"/>
        <family val="2"/>
      </rPr>
      <t xml:space="preserve">言語知識・讀解這科的分數比較低，還沒過線，〇〇這塊明顯還不太熟，分數主要是被這裡拉下來的。建議先不要急著做題目，回到課本把 </t>
    </r>
    <r>
      <rPr>
        <sz val="10"/>
        <rFont val="Microsoft JhengHei"/>
        <family val="0"/>
        <charset val="1"/>
      </rPr>
      <t xml:space="preserve">N5 </t>
    </r>
    <r>
      <rPr>
        <sz val="10"/>
        <rFont val="Noto Sans CJK SC"/>
        <family val="2"/>
      </rPr>
      <t xml:space="preserve">的〇〇確實學過一遍，會是比較實在的做法。</t>
    </r>
  </si>
  <si>
    <r>
      <rPr>
        <sz val="10"/>
        <rFont val="Microsoft JhengHei"/>
        <family val="0"/>
        <charset val="1"/>
      </rPr>
      <t xml:space="preserve">N5|B_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未達</t>
    </r>
    <r>
      <rPr>
        <sz val="10"/>
        <rFont val="Microsoft JhengHei"/>
        <family val="0"/>
        <charset val="1"/>
      </rPr>
      <t xml:space="preserve">|CC</t>
    </r>
  </si>
  <si>
    <r>
      <rPr>
        <sz val="10"/>
        <rFont val="Noto Sans CJK SC"/>
        <family val="2"/>
      </rPr>
      <t xml:space="preserve">言語知識・讀解這科的分數比較低，還沒過線，單字和文法都還沒那麼熟，表示</t>
    </r>
    <r>
      <rPr>
        <sz val="10"/>
        <rFont val="Microsoft JhengHei"/>
        <family val="0"/>
        <charset val="1"/>
      </rPr>
      <t xml:space="preserve">N5 </t>
    </r>
    <r>
      <rPr>
        <sz val="10"/>
        <rFont val="Noto Sans CJK SC"/>
        <family val="2"/>
      </rPr>
      <t xml:space="preserve">的基礎還沒建起來。建議先回到課本從頭把內容確實學一遍，不用急著做題目，慢慢把底打穩。</t>
    </r>
  </si>
  <si>
    <r>
      <rPr>
        <sz val="10"/>
        <rFont val="Microsoft JhengHei"/>
        <family val="0"/>
        <charset val="1"/>
      </rPr>
      <t xml:space="preserve">N5|B_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偏低</t>
    </r>
    <r>
      <rPr>
        <sz val="10"/>
        <rFont val="Microsoft JhengHei"/>
        <family val="0"/>
        <charset val="1"/>
      </rPr>
      <t xml:space="preserve">|AA</t>
    </r>
  </si>
  <si>
    <r>
      <rPr>
        <sz val="10"/>
        <rFont val="Microsoft JhengHei"/>
        <family val="0"/>
        <charset val="1"/>
      </rPr>
      <t xml:space="preserve">N5|B_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偏低</t>
    </r>
    <r>
      <rPr>
        <sz val="10"/>
        <rFont val="Microsoft JhengHei"/>
        <family val="0"/>
        <charset val="1"/>
      </rPr>
      <t xml:space="preserve">|AB</t>
    </r>
  </si>
  <si>
    <r>
      <rPr>
        <sz val="10"/>
        <rFont val="Microsoft JhengHei"/>
        <family val="0"/>
        <charset val="1"/>
      </rPr>
      <t xml:space="preserve">N5|B_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偏低</t>
    </r>
    <r>
      <rPr>
        <sz val="10"/>
        <rFont val="Microsoft JhengHei"/>
        <family val="0"/>
        <charset val="1"/>
      </rPr>
      <t xml:space="preserve">|BA</t>
    </r>
  </si>
  <si>
    <r>
      <rPr>
        <sz val="10"/>
        <rFont val="Microsoft JhengHei"/>
        <family val="0"/>
        <charset val="1"/>
      </rPr>
      <t xml:space="preserve">N5|B_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偏低</t>
    </r>
    <r>
      <rPr>
        <sz val="10"/>
        <rFont val="Microsoft JhengHei"/>
        <family val="0"/>
        <charset val="1"/>
      </rPr>
      <t xml:space="preserve">|BB</t>
    </r>
  </si>
  <si>
    <r>
      <rPr>
        <sz val="10"/>
        <rFont val="Microsoft JhengHei"/>
        <family val="0"/>
        <charset val="1"/>
      </rPr>
      <t xml:space="preserve">N5|B_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偏低</t>
    </r>
    <r>
      <rPr>
        <sz val="10"/>
        <rFont val="Microsoft JhengHei"/>
        <family val="0"/>
        <charset val="1"/>
      </rPr>
      <t xml:space="preserve">|C1</t>
    </r>
  </si>
  <si>
    <r>
      <rPr>
        <sz val="10"/>
        <rFont val="Noto Sans CJK SC"/>
        <family val="2"/>
      </rPr>
      <t xml:space="preserve">言語知識・讀解有過線了，但〇〇這塊明顯還不太熟，分數主要是被這裡拉下來的。建議先集中把 </t>
    </r>
    <r>
      <rPr>
        <sz val="10"/>
        <rFont val="Microsoft JhengHei"/>
        <family val="0"/>
        <charset val="1"/>
      </rPr>
      <t xml:space="preserve">N5 </t>
    </r>
    <r>
      <rPr>
        <sz val="10"/>
        <rFont val="Noto Sans CJK SC"/>
        <family val="2"/>
      </rPr>
      <t xml:space="preserve">的〇〇補起來，這科的分數會有感地往上。</t>
    </r>
  </si>
  <si>
    <r>
      <rPr>
        <sz val="10"/>
        <rFont val="Microsoft JhengHei"/>
        <family val="0"/>
        <charset val="1"/>
      </rPr>
      <t xml:space="preserve">N5|B_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偏低</t>
    </r>
    <r>
      <rPr>
        <sz val="10"/>
        <rFont val="Microsoft JhengHei"/>
        <family val="0"/>
        <charset val="1"/>
      </rPr>
      <t xml:space="preserve">|CC</t>
    </r>
  </si>
  <si>
    <r>
      <rPr>
        <sz val="10"/>
        <rFont val="Noto Sans CJK SC"/>
        <family val="2"/>
      </rPr>
      <t xml:space="preserve">言語知識・讀解有過線了，但分數還偏低，單字和文法都還不太熟，能過線應該是靠閱讀撐著的。建議先回到課本把 </t>
    </r>
    <r>
      <rPr>
        <sz val="10"/>
        <rFont val="Microsoft JhengHei"/>
        <family val="0"/>
        <charset val="1"/>
      </rPr>
      <t xml:space="preserve">N5 </t>
    </r>
    <r>
      <rPr>
        <sz val="10"/>
        <rFont val="Noto Sans CJK SC"/>
        <family val="2"/>
      </rPr>
      <t xml:space="preserve">的單字和文法確實補一輪，會比較實在。</t>
    </r>
  </si>
  <si>
    <r>
      <rPr>
        <sz val="10"/>
        <rFont val="Microsoft JhengHei"/>
        <family val="0"/>
        <charset val="1"/>
      </rPr>
      <t xml:space="preserve">N5|B_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中</t>
    </r>
    <r>
      <rPr>
        <sz val="10"/>
        <rFont val="Microsoft JhengHei"/>
        <family val="0"/>
        <charset val="1"/>
      </rPr>
      <t xml:space="preserve">|AA</t>
    </r>
  </si>
  <si>
    <r>
      <rPr>
        <sz val="10"/>
        <rFont val="Noto Sans CJK SC"/>
        <family val="2"/>
      </rPr>
      <t xml:space="preserve">言語知識・讀解這次表現蠻穩定的，單字和文法都掌握得不錯，基礎應該已經打得很穩。你可以試著開始閱讀長一點的文章，練習抓段落重點，慢慢接觸 </t>
    </r>
    <r>
      <rPr>
        <sz val="10"/>
        <rFont val="Microsoft JhengHei"/>
        <family val="0"/>
        <charset val="1"/>
      </rPr>
      <t xml:space="preserve">N4 </t>
    </r>
    <r>
      <rPr>
        <sz val="10"/>
        <rFont val="Noto Sans CJK SC"/>
        <family val="2"/>
      </rPr>
      <t xml:space="preserve">的內容會是個好時機。</t>
    </r>
  </si>
  <si>
    <r>
      <rPr>
        <sz val="10"/>
        <rFont val="Microsoft JhengHei"/>
        <family val="0"/>
        <charset val="1"/>
      </rPr>
      <t xml:space="preserve">N5|B_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中</t>
    </r>
    <r>
      <rPr>
        <sz val="10"/>
        <rFont val="Microsoft JhengHei"/>
        <family val="0"/>
        <charset val="1"/>
      </rPr>
      <t xml:space="preserve">|AB</t>
    </r>
  </si>
  <si>
    <r>
      <rPr>
        <sz val="10"/>
        <rFont val="Noto Sans CJK SC"/>
        <family val="2"/>
      </rPr>
      <t xml:space="preserve">言語知識・讀解這次表現蠻穩定的，單字沒什麼問題，文法還可以再練練。可以把常錯的句型整理起來再練一輪，同時慢慢接觸 </t>
    </r>
    <r>
      <rPr>
        <sz val="10"/>
        <rFont val="Microsoft JhengHei"/>
        <family val="0"/>
        <charset val="1"/>
      </rPr>
      <t xml:space="preserve">N4 </t>
    </r>
    <r>
      <rPr>
        <sz val="10"/>
        <rFont val="Noto Sans CJK SC"/>
        <family val="2"/>
      </rPr>
      <t xml:space="preserve">的文法，往上會比較順。</t>
    </r>
  </si>
  <si>
    <r>
      <rPr>
        <sz val="10"/>
        <rFont val="Microsoft JhengHei"/>
        <family val="0"/>
        <charset val="1"/>
      </rPr>
      <t xml:space="preserve">N5|B_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中</t>
    </r>
    <r>
      <rPr>
        <sz val="10"/>
        <rFont val="Microsoft JhengHei"/>
        <family val="0"/>
        <charset val="1"/>
      </rPr>
      <t xml:space="preserve">|BA</t>
    </r>
  </si>
  <si>
    <r>
      <rPr>
        <sz val="10"/>
        <rFont val="Noto Sans CJK SC"/>
        <family val="2"/>
      </rPr>
      <t xml:space="preserve">言語知識・讀解這次表現蠻穩定的，文法沒什麼問題，單字還可以再多累積一些。可以趁這段時間把單字量往上拉，搭配長一點的文章一起讀，</t>
    </r>
    <r>
      <rPr>
        <sz val="10"/>
        <rFont val="Microsoft JhengHei"/>
        <family val="0"/>
        <charset val="1"/>
      </rPr>
      <t xml:space="preserve">N4 </t>
    </r>
    <r>
      <rPr>
        <sz val="10"/>
        <rFont val="Noto Sans CJK SC"/>
        <family val="2"/>
      </rPr>
      <t xml:space="preserve">的單字會多很多，現在先累積會比較輕鬆。</t>
    </r>
  </si>
  <si>
    <r>
      <rPr>
        <sz val="10"/>
        <rFont val="Microsoft JhengHei"/>
        <family val="0"/>
        <charset val="1"/>
      </rPr>
      <t xml:space="preserve">N5|B_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中</t>
    </r>
    <r>
      <rPr>
        <sz val="10"/>
        <rFont val="Microsoft JhengHei"/>
        <family val="0"/>
        <charset val="1"/>
      </rPr>
      <t xml:space="preserve">|BB</t>
    </r>
  </si>
  <si>
    <r>
      <rPr>
        <sz val="10"/>
        <rFont val="Noto Sans CJK SC"/>
        <family val="2"/>
      </rPr>
      <t xml:space="preserve">言語知識・讀解這次表現蠻穩定的，不過單字和文法都還可以再練深一點，分數應該是靠整體語感撐起來的。建議把 </t>
    </r>
    <r>
      <rPr>
        <sz val="10"/>
        <rFont val="Microsoft JhengHei"/>
        <family val="0"/>
        <charset val="1"/>
      </rPr>
      <t xml:space="preserve">N5 </t>
    </r>
    <r>
      <rPr>
        <sz val="10"/>
        <rFont val="Noto Sans CJK SC"/>
        <family val="2"/>
      </rPr>
      <t xml:space="preserve">的基礎再過一輪，細節扎實了，往 </t>
    </r>
    <r>
      <rPr>
        <sz val="10"/>
        <rFont val="Microsoft JhengHei"/>
        <family val="0"/>
        <charset val="1"/>
      </rPr>
      <t xml:space="preserve">N4 </t>
    </r>
    <r>
      <rPr>
        <sz val="10"/>
        <rFont val="Noto Sans CJK SC"/>
        <family val="2"/>
      </rPr>
      <t xml:space="preserve">會比較踏實。</t>
    </r>
  </si>
  <si>
    <r>
      <rPr>
        <sz val="10"/>
        <rFont val="Microsoft JhengHei"/>
        <family val="0"/>
        <charset val="1"/>
      </rPr>
      <t xml:space="preserve">N5|B_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中</t>
    </r>
    <r>
      <rPr>
        <sz val="10"/>
        <rFont val="Microsoft JhengHei"/>
        <family val="0"/>
        <charset val="1"/>
      </rPr>
      <t xml:space="preserve">|C1</t>
    </r>
  </si>
  <si>
    <r>
      <rPr>
        <sz val="10"/>
        <rFont val="Noto Sans CJK SC"/>
        <family val="2"/>
      </rPr>
      <t xml:space="preserve">言語知識・讀解整體表現不錯，不過〇〇這塊有點意外地弱，可能是這次剛好考到不熟的範圍。往 </t>
    </r>
    <r>
      <rPr>
        <sz val="10"/>
        <rFont val="Microsoft JhengHei"/>
        <family val="0"/>
        <charset val="1"/>
      </rPr>
      <t xml:space="preserve">N4 </t>
    </r>
    <r>
      <rPr>
        <sz val="10"/>
        <rFont val="Noto Sans CJK SC"/>
        <family val="2"/>
      </rPr>
      <t xml:space="preserve">之前先把〇〇補一補，上去會比較輕鬆。</t>
    </r>
  </si>
  <si>
    <r>
      <rPr>
        <sz val="10"/>
        <rFont val="Microsoft JhengHei"/>
        <family val="0"/>
        <charset val="1"/>
      </rPr>
      <t xml:space="preserve">N5|B_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中</t>
    </r>
    <r>
      <rPr>
        <sz val="10"/>
        <rFont val="Microsoft JhengHei"/>
        <family val="0"/>
        <charset val="1"/>
      </rPr>
      <t xml:space="preserve">|CC</t>
    </r>
  </si>
  <si>
    <r>
      <rPr>
        <sz val="10"/>
        <rFont val="Noto Sans CJK SC"/>
        <family val="2"/>
      </rPr>
      <t xml:space="preserve">言語知識・讀解整體分數不錯，不過單字和文法都還不太熟，這種情況比較少見，可能是閱讀特別強撐起來的。往 </t>
    </r>
    <r>
      <rPr>
        <sz val="10"/>
        <rFont val="Microsoft JhengHei"/>
        <family val="0"/>
        <charset val="1"/>
      </rPr>
      <t xml:space="preserve">N4 </t>
    </r>
    <r>
      <rPr>
        <sz val="10"/>
        <rFont val="Noto Sans CJK SC"/>
        <family val="2"/>
      </rPr>
      <t xml:space="preserve">之前先把單字和文法補起來，會走得比較穩。</t>
    </r>
  </si>
  <si>
    <r>
      <rPr>
        <sz val="10"/>
        <rFont val="Microsoft JhengHei"/>
        <family val="0"/>
        <charset val="1"/>
      </rPr>
      <t xml:space="preserve">N5|B_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高</t>
    </r>
    <r>
      <rPr>
        <sz val="10"/>
        <rFont val="Microsoft JhengHei"/>
        <family val="0"/>
        <charset val="1"/>
      </rPr>
      <t xml:space="preserve">|AA</t>
    </r>
  </si>
  <si>
    <r>
      <rPr>
        <sz val="10"/>
        <rFont val="Noto Sans CJK SC"/>
        <family val="2"/>
      </rPr>
      <t xml:space="preserve">言語知識・讀解這次表現很好，單字、文法、閱讀都已經是你的強項了。這科可以直接用 </t>
    </r>
    <r>
      <rPr>
        <sz val="10"/>
        <rFont val="Microsoft JhengHei"/>
        <family val="0"/>
        <charset val="1"/>
      </rPr>
      <t xml:space="preserve">N4 </t>
    </r>
    <r>
      <rPr>
        <sz val="10"/>
        <rFont val="Noto Sans CJK SC"/>
        <family val="2"/>
      </rPr>
      <t xml:space="preserve">的材料來練，不用再回頭做 </t>
    </r>
    <r>
      <rPr>
        <sz val="10"/>
        <rFont val="Microsoft JhengHei"/>
        <family val="0"/>
        <charset val="1"/>
      </rPr>
      <t xml:space="preserve">N5 </t>
    </r>
    <r>
      <rPr>
        <sz val="10"/>
        <rFont val="Noto Sans CJK SC"/>
        <family val="2"/>
      </rPr>
      <t xml:space="preserve">的東西。</t>
    </r>
  </si>
  <si>
    <r>
      <rPr>
        <sz val="10"/>
        <rFont val="Microsoft JhengHei"/>
        <family val="0"/>
        <charset val="1"/>
      </rPr>
      <t xml:space="preserve">N5|B_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高</t>
    </r>
    <r>
      <rPr>
        <sz val="10"/>
        <rFont val="Microsoft JhengHei"/>
        <family val="0"/>
        <charset val="1"/>
      </rPr>
      <t xml:space="preserve">|AB</t>
    </r>
  </si>
  <si>
    <r>
      <rPr>
        <sz val="10"/>
        <rFont val="Noto Sans CJK SC"/>
        <family val="2"/>
      </rPr>
      <t xml:space="preserve">言語知識・讀解這次表現很好，文法雖然還可以再更熟一點，但整體已經很穩了。往 </t>
    </r>
    <r>
      <rPr>
        <sz val="10"/>
        <rFont val="Microsoft JhengHei"/>
        <family val="0"/>
        <charset val="1"/>
      </rPr>
      <t xml:space="preserve">N4 </t>
    </r>
    <r>
      <rPr>
        <sz val="10"/>
        <rFont val="Noto Sans CJK SC"/>
        <family val="2"/>
      </rPr>
      <t xml:space="preserve">的時候文法會變多，可以先從 </t>
    </r>
    <r>
      <rPr>
        <sz val="10"/>
        <rFont val="Microsoft JhengHei"/>
        <family val="0"/>
        <charset val="1"/>
      </rPr>
      <t xml:space="preserve">N4 </t>
    </r>
    <r>
      <rPr>
        <sz val="10"/>
        <rFont val="Noto Sans CJK SC"/>
        <family val="2"/>
      </rPr>
      <t xml:space="preserve">的句型開始接觸。</t>
    </r>
  </si>
  <si>
    <r>
      <rPr>
        <sz val="10"/>
        <rFont val="Microsoft JhengHei"/>
        <family val="0"/>
        <charset val="1"/>
      </rPr>
      <t xml:space="preserve">N5|B_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高</t>
    </r>
    <r>
      <rPr>
        <sz val="10"/>
        <rFont val="Microsoft JhengHei"/>
        <family val="0"/>
        <charset val="1"/>
      </rPr>
      <t xml:space="preserve">|BA</t>
    </r>
  </si>
  <si>
    <r>
      <rPr>
        <sz val="10"/>
        <rFont val="Noto Sans CJK SC"/>
        <family val="2"/>
      </rPr>
      <t xml:space="preserve">言語知識・讀解這次表現很好，單字雖然還可以再多累積，但整體已經很穩了。往 </t>
    </r>
    <r>
      <rPr>
        <sz val="10"/>
        <rFont val="Microsoft JhengHei"/>
        <family val="0"/>
        <charset val="1"/>
      </rPr>
      <t xml:space="preserve">N4 </t>
    </r>
    <r>
      <rPr>
        <sz val="10"/>
        <rFont val="Noto Sans CJK SC"/>
        <family val="2"/>
      </rPr>
      <t xml:space="preserve">的時候單字量會變多，可以先從 </t>
    </r>
    <r>
      <rPr>
        <sz val="10"/>
        <rFont val="Microsoft JhengHei"/>
        <family val="0"/>
        <charset val="1"/>
      </rPr>
      <t xml:space="preserve">N4 </t>
    </r>
    <r>
      <rPr>
        <sz val="10"/>
        <rFont val="Noto Sans CJK SC"/>
        <family val="2"/>
      </rPr>
      <t xml:space="preserve">的單字開始累積。</t>
    </r>
  </si>
  <si>
    <r>
      <rPr>
        <sz val="10"/>
        <rFont val="Microsoft JhengHei"/>
        <family val="0"/>
        <charset val="1"/>
      </rPr>
      <t xml:space="preserve">N5|B_</t>
    </r>
    <r>
      <rPr>
        <sz val="10"/>
        <rFont val="Noto Sans CJK SC"/>
        <family val="2"/>
      </rPr>
      <t xml:space="preserve">言語知識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高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其他</t>
    </r>
  </si>
  <si>
    <r>
      <rPr>
        <sz val="10"/>
        <rFont val="Noto Sans CJK SC"/>
        <family val="2"/>
      </rPr>
      <t xml:space="preserve">言語知識・讀解分數很好，不過單字或文法有一項看起來還不太穩，可能是這次剛好考到不熟的範圍，往 </t>
    </r>
    <r>
      <rPr>
        <sz val="10"/>
        <rFont val="Microsoft JhengHei"/>
        <family val="0"/>
        <charset val="1"/>
      </rPr>
      <t xml:space="preserve">N4 </t>
    </r>
    <r>
      <rPr>
        <sz val="10"/>
        <rFont val="Noto Sans CJK SC"/>
        <family val="2"/>
      </rPr>
      <t xml:space="preserve">之前順手補一下就好。</t>
    </r>
  </si>
  <si>
    <r>
      <rPr>
        <sz val="10"/>
        <rFont val="Microsoft JhengHei"/>
        <family val="0"/>
        <charset val="1"/>
      </rPr>
      <t xml:space="preserve">N5|C_</t>
    </r>
    <r>
      <rPr>
        <sz val="10"/>
        <rFont val="Noto Sans CJK SC"/>
        <family val="2"/>
      </rPr>
      <t xml:space="preserve">聽解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未達</t>
    </r>
    <r>
      <rPr>
        <sz val="10"/>
        <rFont val="Microsoft JhengHei"/>
        <family val="0"/>
        <charset val="1"/>
      </rPr>
      <t xml:space="preserve">|-</t>
    </r>
  </si>
  <si>
    <t xml:space="preserve">聽力的分數比較低，還沒過線，可能是語速還不習慣，或者句型一下聽過去就忘了。建議可以先看懂內容，再搭配音檔反覆練習，讓耳朵慢慢熟起來。</t>
  </si>
  <si>
    <r>
      <rPr>
        <sz val="10"/>
        <rFont val="Microsoft JhengHei"/>
        <family val="0"/>
        <charset val="1"/>
      </rPr>
      <t xml:space="preserve">N5|C_</t>
    </r>
    <r>
      <rPr>
        <sz val="10"/>
        <rFont val="Noto Sans CJK SC"/>
        <family val="2"/>
      </rPr>
      <t xml:space="preserve">聽解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偏低</t>
    </r>
    <r>
      <rPr>
        <sz val="10"/>
        <rFont val="Microsoft JhengHei"/>
        <family val="0"/>
        <charset val="1"/>
      </rPr>
      <t xml:space="preserve">|-</t>
    </r>
  </si>
  <si>
    <t xml:space="preserve">你已經能聽懂不少內容了，是很好的開始！只是對某些句型或詞還抓不太穩，聽的時候會漏掉重點。建議搭配字幕或文字稿練習，邊聽邊對照會更有幫助。</t>
  </si>
  <si>
    <r>
      <rPr>
        <sz val="10"/>
        <rFont val="Microsoft JhengHei"/>
        <family val="0"/>
        <charset val="1"/>
      </rPr>
      <t xml:space="preserve">N5|C_</t>
    </r>
    <r>
      <rPr>
        <sz val="10"/>
        <rFont val="Noto Sans CJK SC"/>
        <family val="2"/>
      </rPr>
      <t xml:space="preserve">聽解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中</t>
    </r>
    <r>
      <rPr>
        <sz val="10"/>
        <rFont val="Microsoft JhengHei"/>
        <family val="0"/>
        <charset val="1"/>
      </rPr>
      <t xml:space="preserve">|-</t>
    </r>
  </si>
  <si>
    <t xml:space="preserve">這次的聽力表現不錯，大部分的句子應該都能聽懂了。你可以開始嘗試不靠字幕聽懂意思，或挑戰節奏快一點的素材，幫助提升語感和反應。</t>
  </si>
  <si>
    <r>
      <rPr>
        <sz val="10"/>
        <rFont val="Microsoft JhengHei"/>
        <family val="0"/>
        <charset val="1"/>
      </rPr>
      <t xml:space="preserve">N5|C_</t>
    </r>
    <r>
      <rPr>
        <sz val="10"/>
        <rFont val="Noto Sans CJK SC"/>
        <family val="2"/>
      </rPr>
      <t xml:space="preserve">聽解</t>
    </r>
    <r>
      <rPr>
        <sz val="10"/>
        <rFont val="Microsoft JhengHei"/>
        <family val="0"/>
        <charset val="1"/>
      </rPr>
      <t xml:space="preserve">|</t>
    </r>
    <r>
      <rPr>
        <sz val="10"/>
        <rFont val="Noto Sans CJK SC"/>
        <family val="2"/>
      </rPr>
      <t xml:space="preserve">高</t>
    </r>
    <r>
      <rPr>
        <sz val="10"/>
        <rFont val="Microsoft JhengHei"/>
        <family val="0"/>
        <charset val="1"/>
      </rPr>
      <t xml:space="preserve">|-</t>
    </r>
  </si>
  <si>
    <r>
      <rPr>
        <sz val="10"/>
        <rFont val="Noto Sans CJK SC"/>
        <family val="2"/>
      </rPr>
      <t xml:space="preserve">聽力是你的強項，</t>
    </r>
    <r>
      <rPr>
        <sz val="10"/>
        <rFont val="Microsoft JhengHei"/>
        <family val="0"/>
        <charset val="1"/>
      </rPr>
      <t xml:space="preserve">N5 </t>
    </r>
    <r>
      <rPr>
        <sz val="10"/>
        <rFont val="Noto Sans CJK SC"/>
        <family val="2"/>
      </rPr>
      <t xml:space="preserve">的聽解對你來說已經很輕鬆了。現在可以直接接觸 </t>
    </r>
    <r>
      <rPr>
        <sz val="10"/>
        <rFont val="Microsoft JhengHei"/>
        <family val="0"/>
        <charset val="1"/>
      </rPr>
      <t xml:space="preserve">N4 </t>
    </r>
    <r>
      <rPr>
        <sz val="10"/>
        <rFont val="Noto Sans CJK SC"/>
        <family val="2"/>
      </rPr>
      <t xml:space="preserve">的聽力，試試自己的實力到哪裡了。</t>
    </r>
  </si>
  <si>
    <t xml:space="preserve">試算：黃色欄位輸入成績，下方自動組出評語（三個範例）</t>
  </si>
  <si>
    <t xml:space="preserve">總分</t>
  </si>
  <si>
    <r>
      <rPr>
        <sz val="10"/>
        <rFont val="Noto Sans CJK SC"/>
        <family val="2"/>
      </rPr>
      <t xml:space="preserve">言語知識分數（</t>
    </r>
    <r>
      <rPr>
        <sz val="10"/>
        <rFont val="Microsoft JhengHei"/>
        <family val="0"/>
        <charset val="1"/>
      </rPr>
      <t xml:space="preserve">N4/N5 </t>
    </r>
    <r>
      <rPr>
        <sz val="10"/>
        <rFont val="Noto Sans CJK SC"/>
        <family val="2"/>
      </rPr>
      <t xml:space="preserve">為言語知識・讀解）</t>
    </r>
  </si>
  <si>
    <r>
      <rPr>
        <sz val="10"/>
        <rFont val="Noto Sans CJK SC"/>
        <family val="2"/>
      </rPr>
      <t xml:space="preserve">讀解分數（僅 </t>
    </r>
    <r>
      <rPr>
        <sz val="10"/>
        <rFont val="Microsoft JhengHei"/>
        <family val="0"/>
        <charset val="1"/>
      </rPr>
      <t xml:space="preserve">N1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N3</t>
    </r>
    <r>
      <rPr>
        <sz val="10"/>
        <rFont val="Noto Sans CJK SC"/>
        <family val="2"/>
      </rPr>
      <t xml:space="preserve">）</t>
    </r>
  </si>
  <si>
    <t xml:space="preserve">聽解分數</t>
  </si>
  <si>
    <r>
      <rPr>
        <sz val="10"/>
        <rFont val="Noto Sans CJK SC"/>
        <family val="2"/>
      </rPr>
      <t xml:space="preserve">參考情報 文字・語彙（</t>
    </r>
    <r>
      <rPr>
        <sz val="10"/>
        <rFont val="Microsoft JhengHei"/>
        <family val="0"/>
        <charset val="1"/>
      </rPr>
      <t xml:space="preserve">A/B/C</t>
    </r>
    <r>
      <rPr>
        <sz val="10"/>
        <rFont val="Noto Sans CJK SC"/>
        <family val="2"/>
      </rPr>
      <t xml:space="preserve">）</t>
    </r>
  </si>
  <si>
    <t xml:space="preserve">B</t>
  </si>
  <si>
    <t xml:space="preserve">A</t>
  </si>
  <si>
    <t xml:space="preserve">C</t>
  </si>
  <si>
    <r>
      <rPr>
        <sz val="10"/>
        <rFont val="Noto Sans CJK SC"/>
        <family val="2"/>
      </rPr>
      <t xml:space="preserve">參考情報 文法（</t>
    </r>
    <r>
      <rPr>
        <sz val="10"/>
        <rFont val="Microsoft JhengHei"/>
        <family val="0"/>
        <charset val="1"/>
      </rPr>
      <t xml:space="preserve">A/B/C</t>
    </r>
    <r>
      <rPr>
        <sz val="10"/>
        <rFont val="Noto Sans CJK SC"/>
        <family val="2"/>
      </rPr>
      <t xml:space="preserve">）</t>
    </r>
  </si>
  <si>
    <t xml:space="preserve">有獨立讀解科</t>
  </si>
  <si>
    <t xml:space="preserve">總分差距</t>
  </si>
  <si>
    <t xml:space="preserve">任一科未達門檻</t>
  </si>
  <si>
    <t xml:space="preserve">總判定代碼</t>
  </si>
  <si>
    <t xml:space="preserve">言語知識區間</t>
  </si>
  <si>
    <t xml:space="preserve">讀解區間</t>
  </si>
  <si>
    <t xml:space="preserve">聽解區間</t>
  </si>
  <si>
    <t xml:space="preserve">參考情報組合</t>
  </si>
  <si>
    <t xml:space="preserve">參考情報代碼（查表用）</t>
  </si>
  <si>
    <t xml:space="preserve">〇〇代入</t>
  </si>
  <si>
    <r>
      <rPr>
        <sz val="10"/>
        <rFont val="Noto Sans CJK SC"/>
        <family val="2"/>
      </rPr>
      <t xml:space="preserve">鍵 </t>
    </r>
    <r>
      <rPr>
        <sz val="10"/>
        <rFont val="Microsoft JhengHei"/>
        <family val="0"/>
        <charset val="1"/>
      </rPr>
      <t xml:space="preserve">A</t>
    </r>
  </si>
  <si>
    <r>
      <rPr>
        <sz val="10"/>
        <rFont val="Noto Sans CJK SC"/>
        <family val="2"/>
      </rPr>
      <t xml:space="preserve">鍵 </t>
    </r>
    <r>
      <rPr>
        <sz val="10"/>
        <rFont val="Microsoft JhengHei"/>
        <family val="0"/>
        <charset val="1"/>
      </rPr>
      <t xml:space="preserve">B</t>
    </r>
  </si>
  <si>
    <r>
      <rPr>
        <sz val="10"/>
        <rFont val="Noto Sans CJK SC"/>
        <family val="2"/>
      </rPr>
      <t xml:space="preserve">鍵 </t>
    </r>
    <r>
      <rPr>
        <sz val="10"/>
        <rFont val="Microsoft JhengHei"/>
        <family val="0"/>
        <charset val="1"/>
      </rPr>
      <t xml:space="preserve">R</t>
    </r>
  </si>
  <si>
    <r>
      <rPr>
        <sz val="10"/>
        <rFont val="Noto Sans CJK SC"/>
        <family val="2"/>
      </rPr>
      <t xml:space="preserve">鍵 </t>
    </r>
    <r>
      <rPr>
        <sz val="10"/>
        <rFont val="Microsoft JhengHei"/>
        <family val="0"/>
        <charset val="1"/>
      </rPr>
      <t xml:space="preserve">C</t>
    </r>
  </si>
  <si>
    <t xml:space="preserve">開頭句</t>
  </si>
  <si>
    <t xml:space="preserve">言語知識評語</t>
  </si>
  <si>
    <t xml:space="preserve">讀解評語</t>
  </si>
  <si>
    <t xml:space="preserve">聽解評語</t>
  </si>
  <si>
    <t xml:space="preserve">結尾句</t>
  </si>
  <si>
    <t xml:space="preserve">完整評語</t>
  </si>
  <si>
    <r>
      <rPr>
        <sz val="10"/>
        <rFont val="Noto Sans CJK SC"/>
        <family val="2"/>
      </rPr>
      <t xml:space="preserve">說明：黃色為輸入格；</t>
    </r>
    <r>
      <rPr>
        <sz val="10"/>
        <rFont val="Microsoft JhengHei"/>
        <family val="0"/>
        <charset val="1"/>
      </rPr>
      <t xml:space="preserve">B12 </t>
    </r>
    <r>
      <rPr>
        <sz val="10"/>
        <rFont val="Noto Sans CJK SC"/>
        <family val="2"/>
      </rPr>
      <t xml:space="preserve">的讀解分數 </t>
    </r>
    <r>
      <rPr>
        <sz val="10"/>
        <rFont val="Microsoft JhengHei"/>
        <family val="0"/>
        <charset val="1"/>
      </rPr>
      <t xml:space="preserve">N4/N5 </t>
    </r>
    <r>
      <rPr>
        <sz val="10"/>
        <rFont val="Noto Sans CJK SC"/>
        <family val="2"/>
      </rPr>
      <t xml:space="preserve">留空即可。公式只用 </t>
    </r>
    <r>
      <rPr>
        <sz val="10"/>
        <rFont val="Microsoft JhengHei"/>
        <family val="0"/>
        <charset val="1"/>
      </rPr>
      <t xml:space="preserve">INDEX/MATCH/IFS/SUBSTITUTE</t>
    </r>
    <r>
      <rPr>
        <sz val="10"/>
        <rFont val="Noto Sans CJK SC"/>
        <family val="2"/>
      </rPr>
      <t xml:space="preserve">，可直接搬到 </t>
    </r>
    <r>
      <rPr>
        <sz val="10"/>
        <rFont val="Microsoft JhengHei"/>
        <family val="0"/>
        <charset val="1"/>
      </rPr>
      <t xml:space="preserve">Google Sheets</t>
    </r>
    <r>
      <rPr>
        <sz val="10"/>
        <rFont val="Noto Sans CJK SC"/>
        <family val="2"/>
      </rPr>
      <t xml:space="preserve">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</si>
</sst>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Microsoft JhengHei"/>
      <family val="0"/>
      <charset val="1"/>
    </font>
    <font>
      <b val="true"/>
      <sz val="13"/>
      <name val="Noto Sans CJK SC"/>
      <family val="2"/>
    </font>
    <font>
      <sz val="10"/>
      <name val="Microsoft JhengHei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b val="true"/>
      <sz val="10"/>
      <name val="Microsoft JhengHei"/>
      <family val="0"/>
      <charset val="1"/>
    </font>
    <font>
      <sz val="10"/>
      <color rgb="FF0000FF"/>
      <name val="Microsoft JhengHei"/>
      <family val="0"/>
      <charset val="1"/>
    </font>
    <font>
      <sz val="10"/>
      <color rgb="FF0000FF"/>
      <name val="Noto Sans CJK SC"/>
      <family val="2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F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D9D9D9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4" t="s">
        <v>8</v>
      </c>
    </row>
    <row r="13" customFormat="false" ht="15" hidden="false" customHeight="false" outlineLevel="0" collapsed="false">
      <c r="A13" s="4" t="s">
        <v>9</v>
      </c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4" t="s">
        <v>14</v>
      </c>
    </row>
    <row r="20" customFormat="false" ht="15" hidden="false" customHeight="false" outlineLevel="0" collapsed="false">
      <c r="A20" s="4" t="s">
        <v>15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3" t="s">
        <v>16</v>
      </c>
    </row>
    <row r="23" customFormat="false" ht="29.85" hidden="false" customHeight="false" outlineLevel="0" collapsed="false">
      <c r="A23" s="4" t="s">
        <v>17</v>
      </c>
    </row>
    <row r="24" customFormat="false" ht="15" hidden="false" customHeight="false" outlineLevel="0" collapsed="false">
      <c r="A24" s="2" t="s">
        <v>18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3" t="s">
        <v>19</v>
      </c>
    </row>
    <row r="27" customFormat="false" ht="15" hidden="false" customHeight="false" outlineLevel="0" collapsed="false">
      <c r="A27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3"/>
    <col collapsed="false" customWidth="true" hidden="false" outlineLevel="0" max="4" min="4" style="0" width="20"/>
    <col collapsed="false" customWidth="true" hidden="false" outlineLevel="0" max="16" min="5" style="0" width="13"/>
  </cols>
  <sheetData>
    <row r="1" customFormat="false" ht="29.85" hidden="false" customHeight="false" outlineLevel="0" collapsed="false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30</v>
      </c>
      <c r="K1" s="5" t="s">
        <v>31</v>
      </c>
      <c r="L1" s="5" t="s">
        <v>32</v>
      </c>
      <c r="M1" s="5" t="s">
        <v>33</v>
      </c>
      <c r="N1" s="5" t="s">
        <v>34</v>
      </c>
      <c r="O1" s="5" t="s">
        <v>35</v>
      </c>
      <c r="P1" s="5" t="s">
        <v>36</v>
      </c>
    </row>
    <row r="2" customFormat="false" ht="15" hidden="false" customHeight="false" outlineLevel="0" collapsed="false">
      <c r="A2" s="6" t="s">
        <v>37</v>
      </c>
      <c r="B2" s="7" t="n">
        <v>100</v>
      </c>
      <c r="C2" s="7" t="s">
        <v>38</v>
      </c>
      <c r="D2" s="8" t="s">
        <v>39</v>
      </c>
      <c r="E2" s="7" t="n">
        <v>60</v>
      </c>
      <c r="F2" s="7" t="n">
        <v>19</v>
      </c>
      <c r="G2" s="7" t="n">
        <v>29</v>
      </c>
      <c r="H2" s="7" t="n">
        <v>44</v>
      </c>
      <c r="I2" s="7" t="n">
        <v>60</v>
      </c>
      <c r="J2" s="7" t="n">
        <v>19</v>
      </c>
      <c r="K2" s="7" t="n">
        <v>29</v>
      </c>
      <c r="L2" s="7" t="n">
        <v>44</v>
      </c>
      <c r="M2" s="7" t="n">
        <v>60</v>
      </c>
      <c r="N2" s="7" t="n">
        <v>19</v>
      </c>
      <c r="O2" s="7" t="n">
        <v>29</v>
      </c>
      <c r="P2" s="7" t="n">
        <v>44</v>
      </c>
    </row>
    <row r="3" customFormat="false" ht="15" hidden="false" customHeight="false" outlineLevel="0" collapsed="false">
      <c r="A3" s="6" t="s">
        <v>40</v>
      </c>
      <c r="B3" s="7" t="n">
        <v>90</v>
      </c>
      <c r="C3" s="7" t="s">
        <v>37</v>
      </c>
      <c r="D3" s="8" t="s">
        <v>39</v>
      </c>
      <c r="E3" s="7" t="n">
        <v>60</v>
      </c>
      <c r="F3" s="7" t="n">
        <v>19</v>
      </c>
      <c r="G3" s="7" t="n">
        <v>29</v>
      </c>
      <c r="H3" s="7" t="n">
        <v>44</v>
      </c>
      <c r="I3" s="7" t="n">
        <v>60</v>
      </c>
      <c r="J3" s="7" t="n">
        <v>19</v>
      </c>
      <c r="K3" s="7" t="n">
        <v>29</v>
      </c>
      <c r="L3" s="7" t="n">
        <v>44</v>
      </c>
      <c r="M3" s="7" t="n">
        <v>60</v>
      </c>
      <c r="N3" s="7" t="n">
        <v>19</v>
      </c>
      <c r="O3" s="7" t="n">
        <v>29</v>
      </c>
      <c r="P3" s="7" t="n">
        <v>44</v>
      </c>
    </row>
    <row r="4" customFormat="false" ht="15" hidden="false" customHeight="false" outlineLevel="0" collapsed="false">
      <c r="A4" s="6" t="s">
        <v>41</v>
      </c>
      <c r="B4" s="7" t="n">
        <v>95</v>
      </c>
      <c r="C4" s="7" t="s">
        <v>40</v>
      </c>
      <c r="D4" s="8" t="s">
        <v>39</v>
      </c>
      <c r="E4" s="7" t="n">
        <v>60</v>
      </c>
      <c r="F4" s="7" t="n">
        <v>19</v>
      </c>
      <c r="G4" s="7" t="n">
        <v>29</v>
      </c>
      <c r="H4" s="7" t="n">
        <v>44</v>
      </c>
      <c r="I4" s="7" t="n">
        <v>60</v>
      </c>
      <c r="J4" s="7" t="n">
        <v>19</v>
      </c>
      <c r="K4" s="7" t="n">
        <v>29</v>
      </c>
      <c r="L4" s="7" t="n">
        <v>44</v>
      </c>
      <c r="M4" s="7" t="n">
        <v>60</v>
      </c>
      <c r="N4" s="7" t="n">
        <v>19</v>
      </c>
      <c r="O4" s="7" t="n">
        <v>29</v>
      </c>
      <c r="P4" s="7" t="n">
        <v>44</v>
      </c>
    </row>
    <row r="5" customFormat="false" ht="15" hidden="false" customHeight="false" outlineLevel="0" collapsed="false">
      <c r="A5" s="6" t="s">
        <v>42</v>
      </c>
      <c r="B5" s="7" t="n">
        <v>90</v>
      </c>
      <c r="C5" s="7" t="s">
        <v>41</v>
      </c>
      <c r="D5" s="8" t="s">
        <v>43</v>
      </c>
      <c r="E5" s="7" t="n">
        <v>120</v>
      </c>
      <c r="F5" s="7" t="n">
        <v>38</v>
      </c>
      <c r="G5" s="7" t="n">
        <v>59</v>
      </c>
      <c r="H5" s="7" t="n">
        <v>89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60</v>
      </c>
      <c r="N5" s="7" t="n">
        <v>19</v>
      </c>
      <c r="O5" s="7" t="n">
        <v>29</v>
      </c>
      <c r="P5" s="7" t="n">
        <v>44</v>
      </c>
    </row>
    <row r="6" customFormat="false" ht="15" hidden="false" customHeight="false" outlineLevel="0" collapsed="false">
      <c r="A6" s="6" t="s">
        <v>44</v>
      </c>
      <c r="B6" s="7" t="n">
        <v>80</v>
      </c>
      <c r="C6" s="7" t="s">
        <v>42</v>
      </c>
      <c r="D6" s="8" t="s">
        <v>43</v>
      </c>
      <c r="E6" s="7" t="n">
        <v>120</v>
      </c>
      <c r="F6" s="7" t="n">
        <v>38</v>
      </c>
      <c r="G6" s="7" t="n">
        <v>59</v>
      </c>
      <c r="H6" s="7" t="n">
        <v>89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60</v>
      </c>
      <c r="N6" s="7" t="n">
        <v>19</v>
      </c>
      <c r="O6" s="7" t="n">
        <v>29</v>
      </c>
      <c r="P6" s="7" t="n">
        <v>44</v>
      </c>
    </row>
    <row r="8" customFormat="false" ht="15" hidden="false" customHeight="false" outlineLevel="0" collapsed="false">
      <c r="A8" s="9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8" min="7" style="0" width="9"/>
    <col collapsed="false" customWidth="true" hidden="false" outlineLevel="0" max="9" min="9" style="0" width="70"/>
    <col collapsed="false" customWidth="true" hidden="false" outlineLevel="0" max="10" min="10" style="0" width="48"/>
    <col collapsed="false" customWidth="true" hidden="false" outlineLevel="0" max="11" min="11" style="0" width="22"/>
  </cols>
  <sheetData>
    <row r="1" customFormat="false" ht="15" hidden="false" customHeight="false" outlineLevel="0" collapsed="false">
      <c r="A1" s="5" t="s">
        <v>21</v>
      </c>
      <c r="B1" s="5" t="s">
        <v>46</v>
      </c>
      <c r="C1" s="5" t="s">
        <v>47</v>
      </c>
      <c r="D1" s="5" t="s">
        <v>48</v>
      </c>
      <c r="E1" s="5" t="s">
        <v>49</v>
      </c>
      <c r="F1" s="5" t="s">
        <v>50</v>
      </c>
      <c r="G1" s="5" t="s">
        <v>51</v>
      </c>
      <c r="H1" s="5" t="s">
        <v>52</v>
      </c>
      <c r="I1" s="5" t="s">
        <v>53</v>
      </c>
      <c r="J1" s="5" t="s">
        <v>54</v>
      </c>
      <c r="K1" s="5" t="s">
        <v>55</v>
      </c>
    </row>
    <row r="2" customFormat="false" ht="29.85" hidden="false" customHeight="false" outlineLevel="0" collapsed="false">
      <c r="A2" s="10" t="s">
        <v>37</v>
      </c>
      <c r="B2" s="10" t="s">
        <v>56</v>
      </c>
      <c r="C2" s="11" t="s">
        <v>57</v>
      </c>
      <c r="D2" s="10" t="s">
        <v>58</v>
      </c>
      <c r="E2" s="10" t="s">
        <v>59</v>
      </c>
      <c r="F2" s="12" t="s">
        <v>60</v>
      </c>
      <c r="G2" s="10" t="n">
        <v>100</v>
      </c>
      <c r="H2" s="10" t="n">
        <v>180</v>
      </c>
      <c r="I2" s="12" t="s">
        <v>61</v>
      </c>
      <c r="J2" s="12" t="s">
        <v>62</v>
      </c>
      <c r="K2" s="11" t="s">
        <v>63</v>
      </c>
    </row>
    <row r="3" customFormat="false" ht="29.85" hidden="false" customHeight="false" outlineLevel="0" collapsed="false">
      <c r="A3" s="10" t="s">
        <v>37</v>
      </c>
      <c r="B3" s="10" t="s">
        <v>56</v>
      </c>
      <c r="C3" s="11" t="s">
        <v>64</v>
      </c>
      <c r="D3" s="10" t="s">
        <v>58</v>
      </c>
      <c r="E3" s="10" t="s">
        <v>65</v>
      </c>
      <c r="F3" s="12" t="s">
        <v>66</v>
      </c>
      <c r="G3" s="10" t="n">
        <v>0</v>
      </c>
      <c r="H3" s="10" t="n">
        <v>80</v>
      </c>
      <c r="I3" s="12" t="s">
        <v>67</v>
      </c>
      <c r="J3" s="13" t="s">
        <v>68</v>
      </c>
      <c r="K3" s="10"/>
    </row>
    <row r="4" customFormat="false" ht="29.85" hidden="false" customHeight="false" outlineLevel="0" collapsed="false">
      <c r="A4" s="10" t="s">
        <v>37</v>
      </c>
      <c r="B4" s="10" t="s">
        <v>56</v>
      </c>
      <c r="C4" s="11" t="s">
        <v>69</v>
      </c>
      <c r="D4" s="10" t="s">
        <v>58</v>
      </c>
      <c r="E4" s="10" t="s">
        <v>70</v>
      </c>
      <c r="F4" s="12" t="s">
        <v>71</v>
      </c>
      <c r="G4" s="10" t="n">
        <v>81</v>
      </c>
      <c r="H4" s="10" t="n">
        <v>99</v>
      </c>
      <c r="I4" s="12" t="s">
        <v>72</v>
      </c>
      <c r="J4" s="12" t="s">
        <v>73</v>
      </c>
      <c r="K4" s="10"/>
    </row>
    <row r="5" customFormat="false" ht="44" hidden="false" customHeight="false" outlineLevel="0" collapsed="false">
      <c r="A5" s="10" t="s">
        <v>37</v>
      </c>
      <c r="B5" s="10" t="s">
        <v>56</v>
      </c>
      <c r="C5" s="11" t="s">
        <v>74</v>
      </c>
      <c r="D5" s="10" t="s">
        <v>58</v>
      </c>
      <c r="E5" s="10" t="s">
        <v>75</v>
      </c>
      <c r="F5" s="12" t="s">
        <v>76</v>
      </c>
      <c r="G5" s="10" t="n">
        <v>100</v>
      </c>
      <c r="H5" s="10" t="n">
        <v>114</v>
      </c>
      <c r="I5" s="12" t="s">
        <v>77</v>
      </c>
      <c r="J5" s="13" t="s">
        <v>78</v>
      </c>
      <c r="K5" s="10"/>
    </row>
    <row r="6" customFormat="false" ht="44" hidden="false" customHeight="false" outlineLevel="0" collapsed="false">
      <c r="A6" s="10" t="s">
        <v>37</v>
      </c>
      <c r="B6" s="10" t="s">
        <v>56</v>
      </c>
      <c r="C6" s="11" t="s">
        <v>79</v>
      </c>
      <c r="D6" s="10" t="s">
        <v>58</v>
      </c>
      <c r="E6" s="10" t="s">
        <v>80</v>
      </c>
      <c r="F6" s="12" t="s">
        <v>81</v>
      </c>
      <c r="G6" s="10" t="n">
        <v>115</v>
      </c>
      <c r="H6" s="10" t="n">
        <v>139</v>
      </c>
      <c r="I6" s="12" t="s">
        <v>82</v>
      </c>
      <c r="J6" s="13" t="s">
        <v>83</v>
      </c>
      <c r="K6" s="10"/>
    </row>
    <row r="7" customFormat="false" ht="44" hidden="false" customHeight="false" outlineLevel="0" collapsed="false">
      <c r="A7" s="10" t="s">
        <v>37</v>
      </c>
      <c r="B7" s="10" t="s">
        <v>56</v>
      </c>
      <c r="C7" s="11" t="s">
        <v>84</v>
      </c>
      <c r="D7" s="10" t="s">
        <v>58</v>
      </c>
      <c r="E7" s="10" t="s">
        <v>85</v>
      </c>
      <c r="F7" s="12" t="s">
        <v>86</v>
      </c>
      <c r="G7" s="10" t="n">
        <v>140</v>
      </c>
      <c r="H7" s="10" t="n">
        <v>180</v>
      </c>
      <c r="I7" s="12" t="s">
        <v>87</v>
      </c>
      <c r="J7" s="13" t="s">
        <v>88</v>
      </c>
      <c r="K7" s="10"/>
    </row>
    <row r="8" customFormat="false" ht="44" hidden="false" customHeight="false" outlineLevel="0" collapsed="false">
      <c r="A8" s="14" t="s">
        <v>37</v>
      </c>
      <c r="B8" s="14" t="s">
        <v>89</v>
      </c>
      <c r="C8" s="15" t="s">
        <v>90</v>
      </c>
      <c r="D8" s="14" t="s">
        <v>91</v>
      </c>
      <c r="E8" s="14" t="s">
        <v>92</v>
      </c>
      <c r="F8" s="16" t="s">
        <v>93</v>
      </c>
      <c r="G8" s="14" t="n">
        <v>0</v>
      </c>
      <c r="H8" s="14" t="n">
        <v>18</v>
      </c>
      <c r="I8" s="16" t="s">
        <v>94</v>
      </c>
      <c r="J8" s="16"/>
      <c r="K8" s="15" t="s">
        <v>95</v>
      </c>
    </row>
    <row r="9" customFormat="false" ht="58.2" hidden="false" customHeight="false" outlineLevel="0" collapsed="false">
      <c r="A9" s="14" t="s">
        <v>37</v>
      </c>
      <c r="B9" s="14" t="s">
        <v>89</v>
      </c>
      <c r="C9" s="15" t="s">
        <v>90</v>
      </c>
      <c r="D9" s="14" t="s">
        <v>96</v>
      </c>
      <c r="E9" s="14" t="s">
        <v>97</v>
      </c>
      <c r="F9" s="16" t="s">
        <v>98</v>
      </c>
      <c r="G9" s="14" t="n">
        <v>0</v>
      </c>
      <c r="H9" s="14" t="n">
        <v>18</v>
      </c>
      <c r="I9" s="16" t="s">
        <v>99</v>
      </c>
      <c r="J9" s="16"/>
      <c r="K9" s="14"/>
    </row>
    <row r="10" customFormat="false" ht="44" hidden="false" customHeight="false" outlineLevel="0" collapsed="false">
      <c r="A10" s="14" t="s">
        <v>37</v>
      </c>
      <c r="B10" s="14" t="s">
        <v>89</v>
      </c>
      <c r="C10" s="15" t="s">
        <v>90</v>
      </c>
      <c r="D10" s="14" t="s">
        <v>100</v>
      </c>
      <c r="E10" s="14" t="s">
        <v>101</v>
      </c>
      <c r="F10" s="16" t="s">
        <v>102</v>
      </c>
      <c r="G10" s="14" t="n">
        <v>0</v>
      </c>
      <c r="H10" s="14" t="n">
        <v>18</v>
      </c>
      <c r="I10" s="16" t="s">
        <v>103</v>
      </c>
      <c r="J10" s="16"/>
      <c r="K10" s="14"/>
    </row>
    <row r="11" customFormat="false" ht="29.85" hidden="false" customHeight="false" outlineLevel="0" collapsed="false">
      <c r="A11" s="14" t="s">
        <v>37</v>
      </c>
      <c r="B11" s="14" t="s">
        <v>89</v>
      </c>
      <c r="C11" s="15" t="s">
        <v>90</v>
      </c>
      <c r="D11" s="14" t="s">
        <v>104</v>
      </c>
      <c r="E11" s="14" t="s">
        <v>105</v>
      </c>
      <c r="F11" s="16" t="s">
        <v>106</v>
      </c>
      <c r="G11" s="14" t="n">
        <v>0</v>
      </c>
      <c r="H11" s="14" t="n">
        <v>18</v>
      </c>
      <c r="I11" s="16" t="s">
        <v>107</v>
      </c>
      <c r="J11" s="16"/>
      <c r="K11" s="14"/>
    </row>
    <row r="12" customFormat="false" ht="44" hidden="false" customHeight="false" outlineLevel="0" collapsed="false">
      <c r="A12" s="14" t="s">
        <v>37</v>
      </c>
      <c r="B12" s="14" t="s">
        <v>89</v>
      </c>
      <c r="C12" s="15" t="s">
        <v>90</v>
      </c>
      <c r="D12" s="14" t="s">
        <v>108</v>
      </c>
      <c r="E12" s="14" t="s">
        <v>109</v>
      </c>
      <c r="F12" s="16" t="s">
        <v>110</v>
      </c>
      <c r="G12" s="14" t="n">
        <v>0</v>
      </c>
      <c r="H12" s="14" t="n">
        <v>18</v>
      </c>
      <c r="I12" s="16" t="s">
        <v>111</v>
      </c>
      <c r="J12" s="16"/>
      <c r="K12" s="14"/>
    </row>
    <row r="13" customFormat="false" ht="44" hidden="false" customHeight="false" outlineLevel="0" collapsed="false">
      <c r="A13" s="14" t="s">
        <v>37</v>
      </c>
      <c r="B13" s="14" t="s">
        <v>89</v>
      </c>
      <c r="C13" s="15" t="s">
        <v>90</v>
      </c>
      <c r="D13" s="14" t="s">
        <v>112</v>
      </c>
      <c r="E13" s="14" t="s">
        <v>113</v>
      </c>
      <c r="F13" s="16" t="s">
        <v>114</v>
      </c>
      <c r="G13" s="14" t="n">
        <v>0</v>
      </c>
      <c r="H13" s="14" t="n">
        <v>18</v>
      </c>
      <c r="I13" s="16" t="s">
        <v>115</v>
      </c>
      <c r="J13" s="16"/>
      <c r="K13" s="14"/>
    </row>
    <row r="14" customFormat="false" ht="44" hidden="false" customHeight="false" outlineLevel="0" collapsed="false">
      <c r="A14" s="14" t="s">
        <v>37</v>
      </c>
      <c r="B14" s="14" t="s">
        <v>89</v>
      </c>
      <c r="C14" s="15" t="s">
        <v>116</v>
      </c>
      <c r="D14" s="14" t="s">
        <v>91</v>
      </c>
      <c r="E14" s="14" t="s">
        <v>117</v>
      </c>
      <c r="F14" s="16" t="s">
        <v>118</v>
      </c>
      <c r="G14" s="14" t="n">
        <v>19</v>
      </c>
      <c r="H14" s="14" t="n">
        <v>29</v>
      </c>
      <c r="I14" s="16" t="s">
        <v>119</v>
      </c>
      <c r="J14" s="16"/>
      <c r="K14" s="15" t="s">
        <v>95</v>
      </c>
    </row>
    <row r="15" customFormat="false" ht="44" hidden="false" customHeight="false" outlineLevel="0" collapsed="false">
      <c r="A15" s="14" t="s">
        <v>37</v>
      </c>
      <c r="B15" s="14" t="s">
        <v>89</v>
      </c>
      <c r="C15" s="15" t="s">
        <v>116</v>
      </c>
      <c r="D15" s="14" t="s">
        <v>96</v>
      </c>
      <c r="E15" s="14" t="s">
        <v>120</v>
      </c>
      <c r="F15" s="16" t="s">
        <v>121</v>
      </c>
      <c r="G15" s="14" t="n">
        <v>19</v>
      </c>
      <c r="H15" s="14" t="n">
        <v>29</v>
      </c>
      <c r="I15" s="16" t="s">
        <v>122</v>
      </c>
      <c r="J15" s="16"/>
      <c r="K15" s="14"/>
    </row>
    <row r="16" customFormat="false" ht="44" hidden="false" customHeight="false" outlineLevel="0" collapsed="false">
      <c r="A16" s="14" t="s">
        <v>37</v>
      </c>
      <c r="B16" s="14" t="s">
        <v>89</v>
      </c>
      <c r="C16" s="15" t="s">
        <v>116</v>
      </c>
      <c r="D16" s="14" t="s">
        <v>100</v>
      </c>
      <c r="E16" s="14" t="s">
        <v>123</v>
      </c>
      <c r="F16" s="16" t="s">
        <v>124</v>
      </c>
      <c r="G16" s="14" t="n">
        <v>19</v>
      </c>
      <c r="H16" s="14" t="n">
        <v>29</v>
      </c>
      <c r="I16" s="16" t="s">
        <v>125</v>
      </c>
      <c r="J16" s="16"/>
      <c r="K16" s="14"/>
    </row>
    <row r="17" customFormat="false" ht="44" hidden="false" customHeight="false" outlineLevel="0" collapsed="false">
      <c r="A17" s="14" t="s">
        <v>37</v>
      </c>
      <c r="B17" s="14" t="s">
        <v>89</v>
      </c>
      <c r="C17" s="15" t="s">
        <v>116</v>
      </c>
      <c r="D17" s="14" t="s">
        <v>104</v>
      </c>
      <c r="E17" s="14" t="s">
        <v>126</v>
      </c>
      <c r="F17" s="16" t="s">
        <v>127</v>
      </c>
      <c r="G17" s="14" t="n">
        <v>19</v>
      </c>
      <c r="H17" s="14" t="n">
        <v>29</v>
      </c>
      <c r="I17" s="16" t="s">
        <v>128</v>
      </c>
      <c r="J17" s="16"/>
      <c r="K17" s="14"/>
    </row>
    <row r="18" customFormat="false" ht="29.85" hidden="false" customHeight="false" outlineLevel="0" collapsed="false">
      <c r="A18" s="14" t="s">
        <v>37</v>
      </c>
      <c r="B18" s="14" t="s">
        <v>89</v>
      </c>
      <c r="C18" s="15" t="s">
        <v>116</v>
      </c>
      <c r="D18" s="14" t="s">
        <v>108</v>
      </c>
      <c r="E18" s="14" t="s">
        <v>129</v>
      </c>
      <c r="F18" s="16" t="s">
        <v>130</v>
      </c>
      <c r="G18" s="14" t="n">
        <v>19</v>
      </c>
      <c r="H18" s="14" t="n">
        <v>29</v>
      </c>
      <c r="I18" s="16" t="s">
        <v>131</v>
      </c>
      <c r="J18" s="16"/>
      <c r="K18" s="14"/>
    </row>
    <row r="19" customFormat="false" ht="44" hidden="false" customHeight="false" outlineLevel="0" collapsed="false">
      <c r="A19" s="14" t="s">
        <v>37</v>
      </c>
      <c r="B19" s="14" t="s">
        <v>89</v>
      </c>
      <c r="C19" s="15" t="s">
        <v>116</v>
      </c>
      <c r="D19" s="14" t="s">
        <v>112</v>
      </c>
      <c r="E19" s="14" t="s">
        <v>132</v>
      </c>
      <c r="F19" s="16" t="s">
        <v>133</v>
      </c>
      <c r="G19" s="14" t="n">
        <v>19</v>
      </c>
      <c r="H19" s="14" t="n">
        <v>29</v>
      </c>
      <c r="I19" s="16" t="s">
        <v>134</v>
      </c>
      <c r="J19" s="16"/>
      <c r="K19" s="14"/>
    </row>
    <row r="20" customFormat="false" ht="44" hidden="false" customHeight="false" outlineLevel="0" collapsed="false">
      <c r="A20" s="14" t="s">
        <v>37</v>
      </c>
      <c r="B20" s="14" t="s">
        <v>89</v>
      </c>
      <c r="C20" s="15" t="s">
        <v>135</v>
      </c>
      <c r="D20" s="14" t="s">
        <v>91</v>
      </c>
      <c r="E20" s="14" t="s">
        <v>136</v>
      </c>
      <c r="F20" s="16" t="s">
        <v>137</v>
      </c>
      <c r="G20" s="14" t="n">
        <v>30</v>
      </c>
      <c r="H20" s="14" t="n">
        <v>44</v>
      </c>
      <c r="I20" s="16" t="s">
        <v>138</v>
      </c>
      <c r="J20" s="16"/>
      <c r="K20" s="14"/>
    </row>
    <row r="21" customFormat="false" ht="29.85" hidden="false" customHeight="false" outlineLevel="0" collapsed="false">
      <c r="A21" s="14" t="s">
        <v>37</v>
      </c>
      <c r="B21" s="14" t="s">
        <v>89</v>
      </c>
      <c r="C21" s="15" t="s">
        <v>135</v>
      </c>
      <c r="D21" s="14" t="s">
        <v>96</v>
      </c>
      <c r="E21" s="14" t="s">
        <v>139</v>
      </c>
      <c r="F21" s="16" t="s">
        <v>140</v>
      </c>
      <c r="G21" s="14" t="n">
        <v>30</v>
      </c>
      <c r="H21" s="14" t="n">
        <v>44</v>
      </c>
      <c r="I21" s="16" t="s">
        <v>141</v>
      </c>
      <c r="J21" s="16"/>
      <c r="K21" s="14"/>
    </row>
    <row r="22" customFormat="false" ht="29.85" hidden="false" customHeight="false" outlineLevel="0" collapsed="false">
      <c r="A22" s="14" t="s">
        <v>37</v>
      </c>
      <c r="B22" s="14" t="s">
        <v>89</v>
      </c>
      <c r="C22" s="15" t="s">
        <v>135</v>
      </c>
      <c r="D22" s="14" t="s">
        <v>100</v>
      </c>
      <c r="E22" s="14" t="s">
        <v>142</v>
      </c>
      <c r="F22" s="16" t="s">
        <v>143</v>
      </c>
      <c r="G22" s="14" t="n">
        <v>30</v>
      </c>
      <c r="H22" s="14" t="n">
        <v>44</v>
      </c>
      <c r="I22" s="16" t="s">
        <v>144</v>
      </c>
      <c r="J22" s="16"/>
      <c r="K22" s="14"/>
    </row>
    <row r="23" customFormat="false" ht="29.85" hidden="false" customHeight="false" outlineLevel="0" collapsed="false">
      <c r="A23" s="14" t="s">
        <v>37</v>
      </c>
      <c r="B23" s="14" t="s">
        <v>89</v>
      </c>
      <c r="C23" s="15" t="s">
        <v>135</v>
      </c>
      <c r="D23" s="14" t="s">
        <v>104</v>
      </c>
      <c r="E23" s="14" t="s">
        <v>145</v>
      </c>
      <c r="F23" s="16" t="s">
        <v>146</v>
      </c>
      <c r="G23" s="14" t="n">
        <v>30</v>
      </c>
      <c r="H23" s="14" t="n">
        <v>44</v>
      </c>
      <c r="I23" s="16" t="s">
        <v>147</v>
      </c>
      <c r="J23" s="16"/>
      <c r="K23" s="14"/>
    </row>
    <row r="24" customFormat="false" ht="29.85" hidden="false" customHeight="false" outlineLevel="0" collapsed="false">
      <c r="A24" s="14" t="s">
        <v>37</v>
      </c>
      <c r="B24" s="14" t="s">
        <v>89</v>
      </c>
      <c r="C24" s="15" t="s">
        <v>135</v>
      </c>
      <c r="D24" s="14" t="s">
        <v>108</v>
      </c>
      <c r="E24" s="14" t="s">
        <v>148</v>
      </c>
      <c r="F24" s="16" t="s">
        <v>149</v>
      </c>
      <c r="G24" s="14" t="n">
        <v>30</v>
      </c>
      <c r="H24" s="14" t="n">
        <v>44</v>
      </c>
      <c r="I24" s="16" t="s">
        <v>150</v>
      </c>
      <c r="J24" s="16"/>
      <c r="K24" s="14"/>
    </row>
    <row r="25" customFormat="false" ht="29.85" hidden="false" customHeight="false" outlineLevel="0" collapsed="false">
      <c r="A25" s="14" t="s">
        <v>37</v>
      </c>
      <c r="B25" s="14" t="s">
        <v>89</v>
      </c>
      <c r="C25" s="15" t="s">
        <v>135</v>
      </c>
      <c r="D25" s="14" t="s">
        <v>112</v>
      </c>
      <c r="E25" s="14" t="s">
        <v>151</v>
      </c>
      <c r="F25" s="16" t="s">
        <v>152</v>
      </c>
      <c r="G25" s="14" t="n">
        <v>30</v>
      </c>
      <c r="H25" s="14" t="n">
        <v>44</v>
      </c>
      <c r="I25" s="16" t="s">
        <v>153</v>
      </c>
      <c r="J25" s="16"/>
      <c r="K25" s="15" t="s">
        <v>95</v>
      </c>
    </row>
    <row r="26" customFormat="false" ht="29.85" hidden="false" customHeight="false" outlineLevel="0" collapsed="false">
      <c r="A26" s="14" t="s">
        <v>37</v>
      </c>
      <c r="B26" s="14" t="s">
        <v>89</v>
      </c>
      <c r="C26" s="15" t="s">
        <v>154</v>
      </c>
      <c r="D26" s="14" t="s">
        <v>91</v>
      </c>
      <c r="E26" s="14" t="s">
        <v>155</v>
      </c>
      <c r="F26" s="16" t="s">
        <v>156</v>
      </c>
      <c r="G26" s="14" t="n">
        <v>45</v>
      </c>
      <c r="H26" s="14" t="n">
        <v>60</v>
      </c>
      <c r="I26" s="16" t="s">
        <v>157</v>
      </c>
      <c r="J26" s="16"/>
      <c r="K26" s="14"/>
    </row>
    <row r="27" customFormat="false" ht="29.85" hidden="false" customHeight="false" outlineLevel="0" collapsed="false">
      <c r="A27" s="14" t="s">
        <v>37</v>
      </c>
      <c r="B27" s="14" t="s">
        <v>89</v>
      </c>
      <c r="C27" s="15" t="s">
        <v>154</v>
      </c>
      <c r="D27" s="14" t="s">
        <v>96</v>
      </c>
      <c r="E27" s="14" t="s">
        <v>158</v>
      </c>
      <c r="F27" s="16" t="s">
        <v>159</v>
      </c>
      <c r="G27" s="14" t="n">
        <v>45</v>
      </c>
      <c r="H27" s="14" t="n">
        <v>60</v>
      </c>
      <c r="I27" s="16" t="s">
        <v>160</v>
      </c>
      <c r="J27" s="16"/>
      <c r="K27" s="14"/>
    </row>
    <row r="28" customFormat="false" ht="29.85" hidden="false" customHeight="false" outlineLevel="0" collapsed="false">
      <c r="A28" s="14" t="s">
        <v>37</v>
      </c>
      <c r="B28" s="14" t="s">
        <v>89</v>
      </c>
      <c r="C28" s="15" t="s">
        <v>154</v>
      </c>
      <c r="D28" s="14" t="s">
        <v>100</v>
      </c>
      <c r="E28" s="14" t="s">
        <v>161</v>
      </c>
      <c r="F28" s="16" t="s">
        <v>162</v>
      </c>
      <c r="G28" s="14" t="n">
        <v>45</v>
      </c>
      <c r="H28" s="14" t="n">
        <v>60</v>
      </c>
      <c r="I28" s="16" t="s">
        <v>163</v>
      </c>
      <c r="J28" s="16"/>
      <c r="K28" s="14"/>
    </row>
    <row r="29" customFormat="false" ht="29.85" hidden="false" customHeight="false" outlineLevel="0" collapsed="false">
      <c r="A29" s="14" t="s">
        <v>37</v>
      </c>
      <c r="B29" s="14" t="s">
        <v>89</v>
      </c>
      <c r="C29" s="15" t="s">
        <v>154</v>
      </c>
      <c r="D29" s="15" t="s">
        <v>164</v>
      </c>
      <c r="E29" s="14" t="s">
        <v>165</v>
      </c>
      <c r="F29" s="16" t="s">
        <v>166</v>
      </c>
      <c r="G29" s="14" t="n">
        <v>45</v>
      </c>
      <c r="H29" s="14" t="n">
        <v>60</v>
      </c>
      <c r="I29" s="16" t="s">
        <v>167</v>
      </c>
      <c r="J29" s="16"/>
      <c r="K29" s="15" t="s">
        <v>95</v>
      </c>
    </row>
    <row r="30" customFormat="false" ht="44" hidden="false" customHeight="false" outlineLevel="0" collapsed="false">
      <c r="A30" s="17" t="s">
        <v>37</v>
      </c>
      <c r="B30" s="17" t="s">
        <v>168</v>
      </c>
      <c r="C30" s="18" t="s">
        <v>90</v>
      </c>
      <c r="D30" s="17" t="s">
        <v>58</v>
      </c>
      <c r="E30" s="17" t="s">
        <v>169</v>
      </c>
      <c r="F30" s="19" t="s">
        <v>170</v>
      </c>
      <c r="G30" s="17" t="n">
        <v>0</v>
      </c>
      <c r="H30" s="17" t="n">
        <v>18</v>
      </c>
      <c r="I30" s="19" t="s">
        <v>171</v>
      </c>
      <c r="J30" s="19"/>
      <c r="K30" s="17"/>
    </row>
    <row r="31" customFormat="false" ht="44" hidden="false" customHeight="false" outlineLevel="0" collapsed="false">
      <c r="A31" s="17" t="s">
        <v>37</v>
      </c>
      <c r="B31" s="17" t="s">
        <v>168</v>
      </c>
      <c r="C31" s="18" t="s">
        <v>116</v>
      </c>
      <c r="D31" s="17" t="s">
        <v>58</v>
      </c>
      <c r="E31" s="17" t="s">
        <v>172</v>
      </c>
      <c r="F31" s="19" t="s">
        <v>173</v>
      </c>
      <c r="G31" s="17" t="n">
        <v>19</v>
      </c>
      <c r="H31" s="17" t="n">
        <v>29</v>
      </c>
      <c r="I31" s="19" t="s">
        <v>174</v>
      </c>
      <c r="J31" s="19"/>
      <c r="K31" s="17"/>
    </row>
    <row r="32" customFormat="false" ht="29.85" hidden="false" customHeight="false" outlineLevel="0" collapsed="false">
      <c r="A32" s="17" t="s">
        <v>37</v>
      </c>
      <c r="B32" s="17" t="s">
        <v>168</v>
      </c>
      <c r="C32" s="18" t="s">
        <v>135</v>
      </c>
      <c r="D32" s="17" t="s">
        <v>58</v>
      </c>
      <c r="E32" s="17" t="s">
        <v>175</v>
      </c>
      <c r="F32" s="19" t="s">
        <v>176</v>
      </c>
      <c r="G32" s="17" t="n">
        <v>30</v>
      </c>
      <c r="H32" s="17" t="n">
        <v>44</v>
      </c>
      <c r="I32" s="19" t="s">
        <v>177</v>
      </c>
      <c r="J32" s="19"/>
      <c r="K32" s="17"/>
    </row>
    <row r="33" customFormat="false" ht="29.85" hidden="false" customHeight="false" outlineLevel="0" collapsed="false">
      <c r="A33" s="17" t="s">
        <v>37</v>
      </c>
      <c r="B33" s="17" t="s">
        <v>168</v>
      </c>
      <c r="C33" s="18" t="s">
        <v>154</v>
      </c>
      <c r="D33" s="17" t="s">
        <v>58</v>
      </c>
      <c r="E33" s="17" t="s">
        <v>178</v>
      </c>
      <c r="F33" s="19" t="s">
        <v>179</v>
      </c>
      <c r="G33" s="17" t="n">
        <v>45</v>
      </c>
      <c r="H33" s="17" t="n">
        <v>60</v>
      </c>
      <c r="I33" s="19" t="s">
        <v>180</v>
      </c>
      <c r="J33" s="19"/>
      <c r="K33" s="17"/>
    </row>
    <row r="34" customFormat="false" ht="44" hidden="false" customHeight="false" outlineLevel="0" collapsed="false">
      <c r="A34" s="20" t="s">
        <v>37</v>
      </c>
      <c r="B34" s="20" t="s">
        <v>181</v>
      </c>
      <c r="C34" s="21" t="s">
        <v>90</v>
      </c>
      <c r="D34" s="20" t="s">
        <v>58</v>
      </c>
      <c r="E34" s="20" t="s">
        <v>182</v>
      </c>
      <c r="F34" s="22" t="s">
        <v>183</v>
      </c>
      <c r="G34" s="20" t="n">
        <v>0</v>
      </c>
      <c r="H34" s="20" t="n">
        <v>18</v>
      </c>
      <c r="I34" s="22" t="s">
        <v>184</v>
      </c>
      <c r="J34" s="22"/>
      <c r="K34" s="20"/>
    </row>
    <row r="35" customFormat="false" ht="44" hidden="false" customHeight="false" outlineLevel="0" collapsed="false">
      <c r="A35" s="20" t="s">
        <v>37</v>
      </c>
      <c r="B35" s="20" t="s">
        <v>181</v>
      </c>
      <c r="C35" s="21" t="s">
        <v>116</v>
      </c>
      <c r="D35" s="20" t="s">
        <v>58</v>
      </c>
      <c r="E35" s="20" t="s">
        <v>185</v>
      </c>
      <c r="F35" s="22" t="s">
        <v>186</v>
      </c>
      <c r="G35" s="20" t="n">
        <v>19</v>
      </c>
      <c r="H35" s="20" t="n">
        <v>29</v>
      </c>
      <c r="I35" s="22" t="s">
        <v>187</v>
      </c>
      <c r="J35" s="22"/>
      <c r="K35" s="20"/>
    </row>
    <row r="36" customFormat="false" ht="29.85" hidden="false" customHeight="false" outlineLevel="0" collapsed="false">
      <c r="A36" s="20" t="s">
        <v>37</v>
      </c>
      <c r="B36" s="20" t="s">
        <v>181</v>
      </c>
      <c r="C36" s="21" t="s">
        <v>135</v>
      </c>
      <c r="D36" s="20" t="s">
        <v>58</v>
      </c>
      <c r="E36" s="20" t="s">
        <v>188</v>
      </c>
      <c r="F36" s="22" t="s">
        <v>189</v>
      </c>
      <c r="G36" s="20" t="n">
        <v>30</v>
      </c>
      <c r="H36" s="20" t="n">
        <v>44</v>
      </c>
      <c r="I36" s="22" t="s">
        <v>190</v>
      </c>
      <c r="J36" s="22"/>
      <c r="K36" s="20"/>
    </row>
    <row r="37" customFormat="false" ht="29.85" hidden="false" customHeight="false" outlineLevel="0" collapsed="false">
      <c r="A37" s="20" t="s">
        <v>37</v>
      </c>
      <c r="B37" s="20" t="s">
        <v>181</v>
      </c>
      <c r="C37" s="21" t="s">
        <v>154</v>
      </c>
      <c r="D37" s="20" t="s">
        <v>58</v>
      </c>
      <c r="E37" s="20" t="s">
        <v>191</v>
      </c>
      <c r="F37" s="22" t="s">
        <v>192</v>
      </c>
      <c r="G37" s="20" t="n">
        <v>45</v>
      </c>
      <c r="H37" s="20" t="n">
        <v>60</v>
      </c>
      <c r="I37" s="22" t="s">
        <v>193</v>
      </c>
      <c r="J37" s="22"/>
      <c r="K37" s="20"/>
    </row>
    <row r="38" customFormat="false" ht="29.85" hidden="false" customHeight="false" outlineLevel="0" collapsed="false">
      <c r="A38" s="10" t="s">
        <v>40</v>
      </c>
      <c r="B38" s="10" t="s">
        <v>56</v>
      </c>
      <c r="C38" s="11" t="s">
        <v>57</v>
      </c>
      <c r="D38" s="10" t="s">
        <v>58</v>
      </c>
      <c r="E38" s="10" t="s">
        <v>194</v>
      </c>
      <c r="F38" s="12" t="s">
        <v>195</v>
      </c>
      <c r="G38" s="10" t="n">
        <v>90</v>
      </c>
      <c r="H38" s="10" t="n">
        <v>180</v>
      </c>
      <c r="I38" s="12" t="s">
        <v>61</v>
      </c>
      <c r="J38" s="12" t="s">
        <v>196</v>
      </c>
      <c r="K38" s="11" t="s">
        <v>63</v>
      </c>
    </row>
    <row r="39" customFormat="false" ht="29.85" hidden="false" customHeight="false" outlineLevel="0" collapsed="false">
      <c r="A39" s="10" t="s">
        <v>40</v>
      </c>
      <c r="B39" s="10" t="s">
        <v>56</v>
      </c>
      <c r="C39" s="11" t="s">
        <v>64</v>
      </c>
      <c r="D39" s="10" t="s">
        <v>58</v>
      </c>
      <c r="E39" s="10" t="s">
        <v>197</v>
      </c>
      <c r="F39" s="12" t="s">
        <v>198</v>
      </c>
      <c r="G39" s="10" t="n">
        <v>0</v>
      </c>
      <c r="H39" s="10" t="n">
        <v>70</v>
      </c>
      <c r="I39" s="12" t="s">
        <v>199</v>
      </c>
      <c r="J39" s="13" t="s">
        <v>200</v>
      </c>
      <c r="K39" s="10"/>
    </row>
    <row r="40" customFormat="false" ht="29.85" hidden="false" customHeight="false" outlineLevel="0" collapsed="false">
      <c r="A40" s="10" t="s">
        <v>40</v>
      </c>
      <c r="B40" s="10" t="s">
        <v>56</v>
      </c>
      <c r="C40" s="11" t="s">
        <v>69</v>
      </c>
      <c r="D40" s="10" t="s">
        <v>58</v>
      </c>
      <c r="E40" s="10" t="s">
        <v>201</v>
      </c>
      <c r="F40" s="12" t="s">
        <v>202</v>
      </c>
      <c r="G40" s="10" t="n">
        <v>71</v>
      </c>
      <c r="H40" s="10" t="n">
        <v>89</v>
      </c>
      <c r="I40" s="12" t="s">
        <v>203</v>
      </c>
      <c r="J40" s="12" t="s">
        <v>204</v>
      </c>
      <c r="K40" s="10"/>
    </row>
    <row r="41" customFormat="false" ht="44" hidden="false" customHeight="false" outlineLevel="0" collapsed="false">
      <c r="A41" s="10" t="s">
        <v>40</v>
      </c>
      <c r="B41" s="10" t="s">
        <v>56</v>
      </c>
      <c r="C41" s="11" t="s">
        <v>74</v>
      </c>
      <c r="D41" s="10" t="s">
        <v>58</v>
      </c>
      <c r="E41" s="10" t="s">
        <v>205</v>
      </c>
      <c r="F41" s="12" t="s">
        <v>206</v>
      </c>
      <c r="G41" s="10" t="n">
        <v>90</v>
      </c>
      <c r="H41" s="10" t="n">
        <v>104</v>
      </c>
      <c r="I41" s="12" t="s">
        <v>77</v>
      </c>
      <c r="J41" s="13" t="s">
        <v>207</v>
      </c>
      <c r="K41" s="10"/>
    </row>
    <row r="42" customFormat="false" ht="29.85" hidden="false" customHeight="false" outlineLevel="0" collapsed="false">
      <c r="A42" s="10" t="s">
        <v>40</v>
      </c>
      <c r="B42" s="10" t="s">
        <v>56</v>
      </c>
      <c r="C42" s="11" t="s">
        <v>79</v>
      </c>
      <c r="D42" s="10" t="s">
        <v>58</v>
      </c>
      <c r="E42" s="10" t="s">
        <v>208</v>
      </c>
      <c r="F42" s="12" t="s">
        <v>209</v>
      </c>
      <c r="G42" s="10" t="n">
        <v>105</v>
      </c>
      <c r="H42" s="10" t="n">
        <v>129</v>
      </c>
      <c r="I42" s="12" t="s">
        <v>210</v>
      </c>
      <c r="J42" s="12" t="s">
        <v>211</v>
      </c>
      <c r="K42" s="10"/>
    </row>
    <row r="43" customFormat="false" ht="15" hidden="false" customHeight="false" outlineLevel="0" collapsed="false">
      <c r="A43" s="10" t="s">
        <v>40</v>
      </c>
      <c r="B43" s="10" t="s">
        <v>56</v>
      </c>
      <c r="C43" s="11" t="s">
        <v>84</v>
      </c>
      <c r="D43" s="10" t="s">
        <v>58</v>
      </c>
      <c r="E43" s="10" t="s">
        <v>212</v>
      </c>
      <c r="F43" s="12" t="s">
        <v>213</v>
      </c>
      <c r="G43" s="10" t="n">
        <v>130</v>
      </c>
      <c r="H43" s="10" t="n">
        <v>180</v>
      </c>
      <c r="I43" s="12" t="s">
        <v>214</v>
      </c>
      <c r="J43" s="13" t="s">
        <v>215</v>
      </c>
      <c r="K43" s="10"/>
    </row>
    <row r="44" customFormat="false" ht="44" hidden="false" customHeight="false" outlineLevel="0" collapsed="false">
      <c r="A44" s="14" t="s">
        <v>40</v>
      </c>
      <c r="B44" s="14" t="s">
        <v>89</v>
      </c>
      <c r="C44" s="15" t="s">
        <v>90</v>
      </c>
      <c r="D44" s="14" t="s">
        <v>91</v>
      </c>
      <c r="E44" s="14" t="s">
        <v>216</v>
      </c>
      <c r="F44" s="16" t="s">
        <v>93</v>
      </c>
      <c r="G44" s="14" t="n">
        <v>0</v>
      </c>
      <c r="H44" s="14" t="n">
        <v>18</v>
      </c>
      <c r="I44" s="16" t="s">
        <v>94</v>
      </c>
      <c r="J44" s="16"/>
      <c r="K44" s="15" t="s">
        <v>95</v>
      </c>
    </row>
    <row r="45" customFormat="false" ht="44" hidden="false" customHeight="false" outlineLevel="0" collapsed="false">
      <c r="A45" s="14" t="s">
        <v>40</v>
      </c>
      <c r="B45" s="14" t="s">
        <v>89</v>
      </c>
      <c r="C45" s="15" t="s">
        <v>90</v>
      </c>
      <c r="D45" s="14" t="s">
        <v>96</v>
      </c>
      <c r="E45" s="14" t="s">
        <v>217</v>
      </c>
      <c r="F45" s="16" t="s">
        <v>98</v>
      </c>
      <c r="G45" s="14" t="n">
        <v>0</v>
      </c>
      <c r="H45" s="14" t="n">
        <v>18</v>
      </c>
      <c r="I45" s="16" t="s">
        <v>218</v>
      </c>
      <c r="J45" s="16"/>
      <c r="K45" s="14"/>
    </row>
    <row r="46" customFormat="false" ht="44" hidden="false" customHeight="false" outlineLevel="0" collapsed="false">
      <c r="A46" s="14" t="s">
        <v>40</v>
      </c>
      <c r="B46" s="14" t="s">
        <v>89</v>
      </c>
      <c r="C46" s="15" t="s">
        <v>90</v>
      </c>
      <c r="D46" s="14" t="s">
        <v>100</v>
      </c>
      <c r="E46" s="14" t="s">
        <v>219</v>
      </c>
      <c r="F46" s="16" t="s">
        <v>102</v>
      </c>
      <c r="G46" s="14" t="n">
        <v>0</v>
      </c>
      <c r="H46" s="14" t="n">
        <v>18</v>
      </c>
      <c r="I46" s="16" t="s">
        <v>220</v>
      </c>
      <c r="J46" s="16"/>
      <c r="K46" s="14"/>
    </row>
    <row r="47" customFormat="false" ht="29.85" hidden="false" customHeight="false" outlineLevel="0" collapsed="false">
      <c r="A47" s="14" t="s">
        <v>40</v>
      </c>
      <c r="B47" s="14" t="s">
        <v>89</v>
      </c>
      <c r="C47" s="15" t="s">
        <v>90</v>
      </c>
      <c r="D47" s="14" t="s">
        <v>104</v>
      </c>
      <c r="E47" s="14" t="s">
        <v>221</v>
      </c>
      <c r="F47" s="16" t="s">
        <v>106</v>
      </c>
      <c r="G47" s="14" t="n">
        <v>0</v>
      </c>
      <c r="H47" s="14" t="n">
        <v>18</v>
      </c>
      <c r="I47" s="16" t="s">
        <v>222</v>
      </c>
      <c r="J47" s="16"/>
      <c r="K47" s="14"/>
    </row>
    <row r="48" customFormat="false" ht="44" hidden="false" customHeight="false" outlineLevel="0" collapsed="false">
      <c r="A48" s="14" t="s">
        <v>40</v>
      </c>
      <c r="B48" s="14" t="s">
        <v>89</v>
      </c>
      <c r="C48" s="15" t="s">
        <v>90</v>
      </c>
      <c r="D48" s="14" t="s">
        <v>108</v>
      </c>
      <c r="E48" s="14" t="s">
        <v>223</v>
      </c>
      <c r="F48" s="16" t="s">
        <v>110</v>
      </c>
      <c r="G48" s="14" t="n">
        <v>0</v>
      </c>
      <c r="H48" s="14" t="n">
        <v>18</v>
      </c>
      <c r="I48" s="16" t="s">
        <v>224</v>
      </c>
      <c r="J48" s="16"/>
      <c r="K48" s="14"/>
    </row>
    <row r="49" customFormat="false" ht="44" hidden="false" customHeight="false" outlineLevel="0" collapsed="false">
      <c r="A49" s="14" t="s">
        <v>40</v>
      </c>
      <c r="B49" s="14" t="s">
        <v>89</v>
      </c>
      <c r="C49" s="15" t="s">
        <v>90</v>
      </c>
      <c r="D49" s="14" t="s">
        <v>112</v>
      </c>
      <c r="E49" s="14" t="s">
        <v>225</v>
      </c>
      <c r="F49" s="16" t="s">
        <v>114</v>
      </c>
      <c r="G49" s="14" t="n">
        <v>0</v>
      </c>
      <c r="H49" s="14" t="n">
        <v>18</v>
      </c>
      <c r="I49" s="16" t="s">
        <v>226</v>
      </c>
      <c r="J49" s="16"/>
      <c r="K49" s="14"/>
    </row>
    <row r="50" customFormat="false" ht="44" hidden="false" customHeight="false" outlineLevel="0" collapsed="false">
      <c r="A50" s="14" t="s">
        <v>40</v>
      </c>
      <c r="B50" s="14" t="s">
        <v>89</v>
      </c>
      <c r="C50" s="15" t="s">
        <v>116</v>
      </c>
      <c r="D50" s="14" t="s">
        <v>91</v>
      </c>
      <c r="E50" s="14" t="s">
        <v>227</v>
      </c>
      <c r="F50" s="16" t="s">
        <v>118</v>
      </c>
      <c r="G50" s="14" t="n">
        <v>19</v>
      </c>
      <c r="H50" s="14" t="n">
        <v>29</v>
      </c>
      <c r="I50" s="16" t="s">
        <v>119</v>
      </c>
      <c r="J50" s="16"/>
      <c r="K50" s="15" t="s">
        <v>95</v>
      </c>
    </row>
    <row r="51" customFormat="false" ht="44" hidden="false" customHeight="false" outlineLevel="0" collapsed="false">
      <c r="A51" s="14" t="s">
        <v>40</v>
      </c>
      <c r="B51" s="14" t="s">
        <v>89</v>
      </c>
      <c r="C51" s="15" t="s">
        <v>116</v>
      </c>
      <c r="D51" s="14" t="s">
        <v>96</v>
      </c>
      <c r="E51" s="14" t="s">
        <v>228</v>
      </c>
      <c r="F51" s="16" t="s">
        <v>121</v>
      </c>
      <c r="G51" s="14" t="n">
        <v>19</v>
      </c>
      <c r="H51" s="14" t="n">
        <v>29</v>
      </c>
      <c r="I51" s="16" t="s">
        <v>122</v>
      </c>
      <c r="J51" s="16"/>
      <c r="K51" s="14"/>
    </row>
    <row r="52" customFormat="false" ht="44" hidden="false" customHeight="false" outlineLevel="0" collapsed="false">
      <c r="A52" s="14" t="s">
        <v>40</v>
      </c>
      <c r="B52" s="14" t="s">
        <v>89</v>
      </c>
      <c r="C52" s="15" t="s">
        <v>116</v>
      </c>
      <c r="D52" s="14" t="s">
        <v>100</v>
      </c>
      <c r="E52" s="14" t="s">
        <v>229</v>
      </c>
      <c r="F52" s="16" t="s">
        <v>124</v>
      </c>
      <c r="G52" s="14" t="n">
        <v>19</v>
      </c>
      <c r="H52" s="14" t="n">
        <v>29</v>
      </c>
      <c r="I52" s="16" t="s">
        <v>230</v>
      </c>
      <c r="J52" s="16"/>
      <c r="K52" s="14"/>
    </row>
    <row r="53" customFormat="false" ht="44" hidden="false" customHeight="false" outlineLevel="0" collapsed="false">
      <c r="A53" s="14" t="s">
        <v>40</v>
      </c>
      <c r="B53" s="14" t="s">
        <v>89</v>
      </c>
      <c r="C53" s="15" t="s">
        <v>116</v>
      </c>
      <c r="D53" s="14" t="s">
        <v>104</v>
      </c>
      <c r="E53" s="14" t="s">
        <v>231</v>
      </c>
      <c r="F53" s="16" t="s">
        <v>127</v>
      </c>
      <c r="G53" s="14" t="n">
        <v>19</v>
      </c>
      <c r="H53" s="14" t="n">
        <v>29</v>
      </c>
      <c r="I53" s="16" t="s">
        <v>232</v>
      </c>
      <c r="J53" s="16"/>
      <c r="K53" s="14"/>
    </row>
    <row r="54" customFormat="false" ht="29.85" hidden="false" customHeight="false" outlineLevel="0" collapsed="false">
      <c r="A54" s="14" t="s">
        <v>40</v>
      </c>
      <c r="B54" s="14" t="s">
        <v>89</v>
      </c>
      <c r="C54" s="15" t="s">
        <v>116</v>
      </c>
      <c r="D54" s="14" t="s">
        <v>108</v>
      </c>
      <c r="E54" s="14" t="s">
        <v>233</v>
      </c>
      <c r="F54" s="16" t="s">
        <v>130</v>
      </c>
      <c r="G54" s="14" t="n">
        <v>19</v>
      </c>
      <c r="H54" s="14" t="n">
        <v>29</v>
      </c>
      <c r="I54" s="16" t="s">
        <v>234</v>
      </c>
      <c r="J54" s="16"/>
      <c r="K54" s="14"/>
    </row>
    <row r="55" customFormat="false" ht="44" hidden="false" customHeight="false" outlineLevel="0" collapsed="false">
      <c r="A55" s="14" t="s">
        <v>40</v>
      </c>
      <c r="B55" s="14" t="s">
        <v>89</v>
      </c>
      <c r="C55" s="15" t="s">
        <v>116</v>
      </c>
      <c r="D55" s="14" t="s">
        <v>112</v>
      </c>
      <c r="E55" s="14" t="s">
        <v>235</v>
      </c>
      <c r="F55" s="16" t="s">
        <v>133</v>
      </c>
      <c r="G55" s="14" t="n">
        <v>19</v>
      </c>
      <c r="H55" s="14" t="n">
        <v>29</v>
      </c>
      <c r="I55" s="16" t="s">
        <v>236</v>
      </c>
      <c r="J55" s="16"/>
      <c r="K55" s="14"/>
    </row>
    <row r="56" customFormat="false" ht="29.85" hidden="false" customHeight="false" outlineLevel="0" collapsed="false">
      <c r="A56" s="14" t="s">
        <v>40</v>
      </c>
      <c r="B56" s="14" t="s">
        <v>89</v>
      </c>
      <c r="C56" s="15" t="s">
        <v>135</v>
      </c>
      <c r="D56" s="14" t="s">
        <v>91</v>
      </c>
      <c r="E56" s="14" t="s">
        <v>237</v>
      </c>
      <c r="F56" s="16" t="s">
        <v>137</v>
      </c>
      <c r="G56" s="14" t="n">
        <v>30</v>
      </c>
      <c r="H56" s="14" t="n">
        <v>44</v>
      </c>
      <c r="I56" s="16" t="s">
        <v>238</v>
      </c>
      <c r="J56" s="16"/>
      <c r="K56" s="14"/>
    </row>
    <row r="57" customFormat="false" ht="29.85" hidden="false" customHeight="false" outlineLevel="0" collapsed="false">
      <c r="A57" s="14" t="s">
        <v>40</v>
      </c>
      <c r="B57" s="14" t="s">
        <v>89</v>
      </c>
      <c r="C57" s="15" t="s">
        <v>135</v>
      </c>
      <c r="D57" s="14" t="s">
        <v>96</v>
      </c>
      <c r="E57" s="14" t="s">
        <v>239</v>
      </c>
      <c r="F57" s="16" t="s">
        <v>140</v>
      </c>
      <c r="G57" s="14" t="n">
        <v>30</v>
      </c>
      <c r="H57" s="14" t="n">
        <v>44</v>
      </c>
      <c r="I57" s="16" t="s">
        <v>240</v>
      </c>
      <c r="J57" s="16"/>
      <c r="K57" s="14"/>
    </row>
    <row r="58" customFormat="false" ht="29.85" hidden="false" customHeight="false" outlineLevel="0" collapsed="false">
      <c r="A58" s="14" t="s">
        <v>40</v>
      </c>
      <c r="B58" s="14" t="s">
        <v>89</v>
      </c>
      <c r="C58" s="15" t="s">
        <v>135</v>
      </c>
      <c r="D58" s="14" t="s">
        <v>100</v>
      </c>
      <c r="E58" s="14" t="s">
        <v>241</v>
      </c>
      <c r="F58" s="16" t="s">
        <v>143</v>
      </c>
      <c r="G58" s="14" t="n">
        <v>30</v>
      </c>
      <c r="H58" s="14" t="n">
        <v>44</v>
      </c>
      <c r="I58" s="16" t="s">
        <v>242</v>
      </c>
      <c r="J58" s="16"/>
      <c r="K58" s="14"/>
    </row>
    <row r="59" customFormat="false" ht="29.85" hidden="false" customHeight="false" outlineLevel="0" collapsed="false">
      <c r="A59" s="14" t="s">
        <v>40</v>
      </c>
      <c r="B59" s="14" t="s">
        <v>89</v>
      </c>
      <c r="C59" s="15" t="s">
        <v>135</v>
      </c>
      <c r="D59" s="14" t="s">
        <v>104</v>
      </c>
      <c r="E59" s="14" t="s">
        <v>243</v>
      </c>
      <c r="F59" s="16" t="s">
        <v>146</v>
      </c>
      <c r="G59" s="14" t="n">
        <v>30</v>
      </c>
      <c r="H59" s="14" t="n">
        <v>44</v>
      </c>
      <c r="I59" s="16" t="s">
        <v>244</v>
      </c>
      <c r="J59" s="16"/>
      <c r="K59" s="14"/>
    </row>
    <row r="60" customFormat="false" ht="29.85" hidden="false" customHeight="false" outlineLevel="0" collapsed="false">
      <c r="A60" s="14" t="s">
        <v>40</v>
      </c>
      <c r="B60" s="14" t="s">
        <v>89</v>
      </c>
      <c r="C60" s="15" t="s">
        <v>135</v>
      </c>
      <c r="D60" s="14" t="s">
        <v>108</v>
      </c>
      <c r="E60" s="14" t="s">
        <v>245</v>
      </c>
      <c r="F60" s="16" t="s">
        <v>149</v>
      </c>
      <c r="G60" s="14" t="n">
        <v>30</v>
      </c>
      <c r="H60" s="14" t="n">
        <v>44</v>
      </c>
      <c r="I60" s="16" t="s">
        <v>246</v>
      </c>
      <c r="J60" s="16"/>
      <c r="K60" s="14"/>
    </row>
    <row r="61" customFormat="false" ht="29.85" hidden="false" customHeight="false" outlineLevel="0" collapsed="false">
      <c r="A61" s="14" t="s">
        <v>40</v>
      </c>
      <c r="B61" s="14" t="s">
        <v>89</v>
      </c>
      <c r="C61" s="15" t="s">
        <v>135</v>
      </c>
      <c r="D61" s="14" t="s">
        <v>112</v>
      </c>
      <c r="E61" s="14" t="s">
        <v>247</v>
      </c>
      <c r="F61" s="16" t="s">
        <v>152</v>
      </c>
      <c r="G61" s="14" t="n">
        <v>30</v>
      </c>
      <c r="H61" s="14" t="n">
        <v>44</v>
      </c>
      <c r="I61" s="16" t="s">
        <v>248</v>
      </c>
      <c r="J61" s="16"/>
      <c r="K61" s="15" t="s">
        <v>95</v>
      </c>
    </row>
    <row r="62" customFormat="false" ht="29.85" hidden="false" customHeight="false" outlineLevel="0" collapsed="false">
      <c r="A62" s="14" t="s">
        <v>40</v>
      </c>
      <c r="B62" s="14" t="s">
        <v>89</v>
      </c>
      <c r="C62" s="15" t="s">
        <v>154</v>
      </c>
      <c r="D62" s="14" t="s">
        <v>91</v>
      </c>
      <c r="E62" s="14" t="s">
        <v>249</v>
      </c>
      <c r="F62" s="16" t="s">
        <v>156</v>
      </c>
      <c r="G62" s="14" t="n">
        <v>45</v>
      </c>
      <c r="H62" s="14" t="n">
        <v>60</v>
      </c>
      <c r="I62" s="16" t="s">
        <v>250</v>
      </c>
      <c r="J62" s="16"/>
      <c r="K62" s="14"/>
    </row>
    <row r="63" customFormat="false" ht="29.85" hidden="false" customHeight="false" outlineLevel="0" collapsed="false">
      <c r="A63" s="14" t="s">
        <v>40</v>
      </c>
      <c r="B63" s="14" t="s">
        <v>89</v>
      </c>
      <c r="C63" s="15" t="s">
        <v>154</v>
      </c>
      <c r="D63" s="14" t="s">
        <v>96</v>
      </c>
      <c r="E63" s="14" t="s">
        <v>251</v>
      </c>
      <c r="F63" s="16" t="s">
        <v>159</v>
      </c>
      <c r="G63" s="14" t="n">
        <v>45</v>
      </c>
      <c r="H63" s="14" t="n">
        <v>60</v>
      </c>
      <c r="I63" s="16" t="s">
        <v>252</v>
      </c>
      <c r="J63" s="16"/>
      <c r="K63" s="14"/>
    </row>
    <row r="64" customFormat="false" ht="29.85" hidden="false" customHeight="false" outlineLevel="0" collapsed="false">
      <c r="A64" s="14" t="s">
        <v>40</v>
      </c>
      <c r="B64" s="14" t="s">
        <v>89</v>
      </c>
      <c r="C64" s="15" t="s">
        <v>154</v>
      </c>
      <c r="D64" s="14" t="s">
        <v>100</v>
      </c>
      <c r="E64" s="14" t="s">
        <v>253</v>
      </c>
      <c r="F64" s="16" t="s">
        <v>162</v>
      </c>
      <c r="G64" s="14" t="n">
        <v>45</v>
      </c>
      <c r="H64" s="14" t="n">
        <v>60</v>
      </c>
      <c r="I64" s="16" t="s">
        <v>254</v>
      </c>
      <c r="J64" s="16"/>
      <c r="K64" s="14"/>
    </row>
    <row r="65" customFormat="false" ht="29.85" hidden="false" customHeight="false" outlineLevel="0" collapsed="false">
      <c r="A65" s="14" t="s">
        <v>40</v>
      </c>
      <c r="B65" s="14" t="s">
        <v>89</v>
      </c>
      <c r="C65" s="15" t="s">
        <v>154</v>
      </c>
      <c r="D65" s="15" t="s">
        <v>164</v>
      </c>
      <c r="E65" s="14" t="s">
        <v>255</v>
      </c>
      <c r="F65" s="16" t="s">
        <v>166</v>
      </c>
      <c r="G65" s="14" t="n">
        <v>45</v>
      </c>
      <c r="H65" s="14" t="n">
        <v>60</v>
      </c>
      <c r="I65" s="16" t="s">
        <v>256</v>
      </c>
      <c r="J65" s="16"/>
      <c r="K65" s="15" t="s">
        <v>95</v>
      </c>
    </row>
    <row r="66" customFormat="false" ht="44" hidden="false" customHeight="false" outlineLevel="0" collapsed="false">
      <c r="A66" s="17" t="s">
        <v>40</v>
      </c>
      <c r="B66" s="17" t="s">
        <v>168</v>
      </c>
      <c r="C66" s="18" t="s">
        <v>90</v>
      </c>
      <c r="D66" s="17" t="s">
        <v>58</v>
      </c>
      <c r="E66" s="17" t="s">
        <v>257</v>
      </c>
      <c r="F66" s="19" t="s">
        <v>170</v>
      </c>
      <c r="G66" s="17" t="n">
        <v>0</v>
      </c>
      <c r="H66" s="17" t="n">
        <v>18</v>
      </c>
      <c r="I66" s="19" t="s">
        <v>258</v>
      </c>
      <c r="J66" s="19"/>
      <c r="K66" s="17"/>
    </row>
    <row r="67" customFormat="false" ht="29.85" hidden="false" customHeight="false" outlineLevel="0" collapsed="false">
      <c r="A67" s="17" t="s">
        <v>40</v>
      </c>
      <c r="B67" s="17" t="s">
        <v>168</v>
      </c>
      <c r="C67" s="18" t="s">
        <v>116</v>
      </c>
      <c r="D67" s="17" t="s">
        <v>58</v>
      </c>
      <c r="E67" s="17" t="s">
        <v>259</v>
      </c>
      <c r="F67" s="19" t="s">
        <v>173</v>
      </c>
      <c r="G67" s="17" t="n">
        <v>19</v>
      </c>
      <c r="H67" s="17" t="n">
        <v>29</v>
      </c>
      <c r="I67" s="19" t="s">
        <v>260</v>
      </c>
      <c r="J67" s="19"/>
      <c r="K67" s="17"/>
    </row>
    <row r="68" customFormat="false" ht="29.85" hidden="false" customHeight="false" outlineLevel="0" collapsed="false">
      <c r="A68" s="17" t="s">
        <v>40</v>
      </c>
      <c r="B68" s="17" t="s">
        <v>168</v>
      </c>
      <c r="C68" s="18" t="s">
        <v>135</v>
      </c>
      <c r="D68" s="17" t="s">
        <v>58</v>
      </c>
      <c r="E68" s="17" t="s">
        <v>261</v>
      </c>
      <c r="F68" s="19" t="s">
        <v>176</v>
      </c>
      <c r="G68" s="17" t="n">
        <v>30</v>
      </c>
      <c r="H68" s="17" t="n">
        <v>44</v>
      </c>
      <c r="I68" s="19" t="s">
        <v>262</v>
      </c>
      <c r="J68" s="19"/>
      <c r="K68" s="17"/>
    </row>
    <row r="69" customFormat="false" ht="29.85" hidden="false" customHeight="false" outlineLevel="0" collapsed="false">
      <c r="A69" s="17" t="s">
        <v>40</v>
      </c>
      <c r="B69" s="17" t="s">
        <v>168</v>
      </c>
      <c r="C69" s="18" t="s">
        <v>154</v>
      </c>
      <c r="D69" s="17" t="s">
        <v>58</v>
      </c>
      <c r="E69" s="17" t="s">
        <v>263</v>
      </c>
      <c r="F69" s="19" t="s">
        <v>179</v>
      </c>
      <c r="G69" s="17" t="n">
        <v>45</v>
      </c>
      <c r="H69" s="17" t="n">
        <v>60</v>
      </c>
      <c r="I69" s="19" t="s">
        <v>264</v>
      </c>
      <c r="J69" s="19"/>
      <c r="K69" s="17"/>
    </row>
    <row r="70" customFormat="false" ht="44" hidden="false" customHeight="false" outlineLevel="0" collapsed="false">
      <c r="A70" s="20" t="s">
        <v>40</v>
      </c>
      <c r="B70" s="20" t="s">
        <v>181</v>
      </c>
      <c r="C70" s="21" t="s">
        <v>90</v>
      </c>
      <c r="D70" s="20" t="s">
        <v>58</v>
      </c>
      <c r="E70" s="20" t="s">
        <v>265</v>
      </c>
      <c r="F70" s="22" t="s">
        <v>183</v>
      </c>
      <c r="G70" s="20" t="n">
        <v>0</v>
      </c>
      <c r="H70" s="20" t="n">
        <v>18</v>
      </c>
      <c r="I70" s="22" t="s">
        <v>266</v>
      </c>
      <c r="J70" s="22"/>
      <c r="K70" s="20"/>
    </row>
    <row r="71" customFormat="false" ht="44" hidden="false" customHeight="false" outlineLevel="0" collapsed="false">
      <c r="A71" s="20" t="s">
        <v>40</v>
      </c>
      <c r="B71" s="20" t="s">
        <v>181</v>
      </c>
      <c r="C71" s="21" t="s">
        <v>116</v>
      </c>
      <c r="D71" s="20" t="s">
        <v>58</v>
      </c>
      <c r="E71" s="20" t="s">
        <v>267</v>
      </c>
      <c r="F71" s="22" t="s">
        <v>186</v>
      </c>
      <c r="G71" s="20" t="n">
        <v>19</v>
      </c>
      <c r="H71" s="20" t="n">
        <v>29</v>
      </c>
      <c r="I71" s="22" t="s">
        <v>268</v>
      </c>
      <c r="J71" s="22"/>
      <c r="K71" s="20"/>
    </row>
    <row r="72" customFormat="false" ht="29.85" hidden="false" customHeight="false" outlineLevel="0" collapsed="false">
      <c r="A72" s="20" t="s">
        <v>40</v>
      </c>
      <c r="B72" s="20" t="s">
        <v>181</v>
      </c>
      <c r="C72" s="21" t="s">
        <v>135</v>
      </c>
      <c r="D72" s="20" t="s">
        <v>58</v>
      </c>
      <c r="E72" s="20" t="s">
        <v>269</v>
      </c>
      <c r="F72" s="22" t="s">
        <v>189</v>
      </c>
      <c r="G72" s="20" t="n">
        <v>30</v>
      </c>
      <c r="H72" s="20" t="n">
        <v>44</v>
      </c>
      <c r="I72" s="22" t="s">
        <v>270</v>
      </c>
      <c r="J72" s="22"/>
      <c r="K72" s="20"/>
    </row>
    <row r="73" customFormat="false" ht="29.85" hidden="false" customHeight="false" outlineLevel="0" collapsed="false">
      <c r="A73" s="20" t="s">
        <v>40</v>
      </c>
      <c r="B73" s="20" t="s">
        <v>181</v>
      </c>
      <c r="C73" s="21" t="s">
        <v>154</v>
      </c>
      <c r="D73" s="20" t="s">
        <v>58</v>
      </c>
      <c r="E73" s="20" t="s">
        <v>271</v>
      </c>
      <c r="F73" s="22" t="s">
        <v>192</v>
      </c>
      <c r="G73" s="20" t="n">
        <v>45</v>
      </c>
      <c r="H73" s="20" t="n">
        <v>60</v>
      </c>
      <c r="I73" s="22" t="s">
        <v>272</v>
      </c>
      <c r="J73" s="22"/>
      <c r="K73" s="20"/>
    </row>
    <row r="74" customFormat="false" ht="29.85" hidden="false" customHeight="false" outlineLevel="0" collapsed="false">
      <c r="A74" s="10" t="s">
        <v>41</v>
      </c>
      <c r="B74" s="10" t="s">
        <v>56</v>
      </c>
      <c r="C74" s="11" t="s">
        <v>57</v>
      </c>
      <c r="D74" s="10" t="s">
        <v>58</v>
      </c>
      <c r="E74" s="10" t="s">
        <v>273</v>
      </c>
      <c r="F74" s="12" t="s">
        <v>274</v>
      </c>
      <c r="G74" s="10" t="n">
        <v>95</v>
      </c>
      <c r="H74" s="10" t="n">
        <v>180</v>
      </c>
      <c r="I74" s="12" t="s">
        <v>61</v>
      </c>
      <c r="J74" s="12" t="s">
        <v>275</v>
      </c>
      <c r="K74" s="11" t="s">
        <v>63</v>
      </c>
    </row>
    <row r="75" customFormat="false" ht="29.85" hidden="false" customHeight="false" outlineLevel="0" collapsed="false">
      <c r="A75" s="10" t="s">
        <v>41</v>
      </c>
      <c r="B75" s="10" t="s">
        <v>56</v>
      </c>
      <c r="C75" s="11" t="s">
        <v>64</v>
      </c>
      <c r="D75" s="10" t="s">
        <v>58</v>
      </c>
      <c r="E75" s="10" t="s">
        <v>276</v>
      </c>
      <c r="F75" s="12" t="s">
        <v>277</v>
      </c>
      <c r="G75" s="10" t="n">
        <v>0</v>
      </c>
      <c r="H75" s="10" t="n">
        <v>75</v>
      </c>
      <c r="I75" s="12" t="s">
        <v>278</v>
      </c>
      <c r="J75" s="12" t="s">
        <v>279</v>
      </c>
      <c r="K75" s="10"/>
    </row>
    <row r="76" customFormat="false" ht="29.85" hidden="false" customHeight="false" outlineLevel="0" collapsed="false">
      <c r="A76" s="10" t="s">
        <v>41</v>
      </c>
      <c r="B76" s="10" t="s">
        <v>56</v>
      </c>
      <c r="C76" s="11" t="s">
        <v>69</v>
      </c>
      <c r="D76" s="10" t="s">
        <v>58</v>
      </c>
      <c r="E76" s="10" t="s">
        <v>280</v>
      </c>
      <c r="F76" s="12" t="s">
        <v>281</v>
      </c>
      <c r="G76" s="10" t="n">
        <v>76</v>
      </c>
      <c r="H76" s="10" t="n">
        <v>94</v>
      </c>
      <c r="I76" s="12" t="s">
        <v>282</v>
      </c>
      <c r="J76" s="12" t="s">
        <v>283</v>
      </c>
      <c r="K76" s="10"/>
    </row>
    <row r="77" customFormat="false" ht="44" hidden="false" customHeight="false" outlineLevel="0" collapsed="false">
      <c r="A77" s="10" t="s">
        <v>41</v>
      </c>
      <c r="B77" s="10" t="s">
        <v>56</v>
      </c>
      <c r="C77" s="11" t="s">
        <v>74</v>
      </c>
      <c r="D77" s="10" t="s">
        <v>58</v>
      </c>
      <c r="E77" s="10" t="s">
        <v>284</v>
      </c>
      <c r="F77" s="12" t="s">
        <v>285</v>
      </c>
      <c r="G77" s="10" t="n">
        <v>95</v>
      </c>
      <c r="H77" s="10" t="n">
        <v>109</v>
      </c>
      <c r="I77" s="12" t="s">
        <v>77</v>
      </c>
      <c r="J77" s="13" t="s">
        <v>286</v>
      </c>
      <c r="K77" s="10"/>
    </row>
    <row r="78" customFormat="false" ht="29.85" hidden="false" customHeight="false" outlineLevel="0" collapsed="false">
      <c r="A78" s="10" t="s">
        <v>41</v>
      </c>
      <c r="B78" s="10" t="s">
        <v>56</v>
      </c>
      <c r="C78" s="11" t="s">
        <v>79</v>
      </c>
      <c r="D78" s="10" t="s">
        <v>58</v>
      </c>
      <c r="E78" s="10" t="s">
        <v>287</v>
      </c>
      <c r="F78" s="12" t="s">
        <v>288</v>
      </c>
      <c r="G78" s="10" t="n">
        <v>110</v>
      </c>
      <c r="H78" s="10" t="n">
        <v>134</v>
      </c>
      <c r="I78" s="12" t="s">
        <v>289</v>
      </c>
      <c r="J78" s="12" t="s">
        <v>290</v>
      </c>
      <c r="K78" s="10"/>
    </row>
    <row r="79" customFormat="false" ht="15" hidden="false" customHeight="false" outlineLevel="0" collapsed="false">
      <c r="A79" s="10" t="s">
        <v>41</v>
      </c>
      <c r="B79" s="10" t="s">
        <v>56</v>
      </c>
      <c r="C79" s="11" t="s">
        <v>84</v>
      </c>
      <c r="D79" s="10" t="s">
        <v>58</v>
      </c>
      <c r="E79" s="10" t="s">
        <v>291</v>
      </c>
      <c r="F79" s="12" t="s">
        <v>292</v>
      </c>
      <c r="G79" s="10" t="n">
        <v>135</v>
      </c>
      <c r="H79" s="10" t="n">
        <v>180</v>
      </c>
      <c r="I79" s="12" t="s">
        <v>293</v>
      </c>
      <c r="J79" s="13" t="s">
        <v>294</v>
      </c>
      <c r="K79" s="10"/>
    </row>
    <row r="80" customFormat="false" ht="44" hidden="false" customHeight="false" outlineLevel="0" collapsed="false">
      <c r="A80" s="14" t="s">
        <v>41</v>
      </c>
      <c r="B80" s="14" t="s">
        <v>89</v>
      </c>
      <c r="C80" s="15" t="s">
        <v>90</v>
      </c>
      <c r="D80" s="14" t="s">
        <v>91</v>
      </c>
      <c r="E80" s="14" t="s">
        <v>295</v>
      </c>
      <c r="F80" s="16" t="s">
        <v>93</v>
      </c>
      <c r="G80" s="14" t="n">
        <v>0</v>
      </c>
      <c r="H80" s="14" t="n">
        <v>18</v>
      </c>
      <c r="I80" s="16" t="s">
        <v>94</v>
      </c>
      <c r="J80" s="16"/>
      <c r="K80" s="15" t="s">
        <v>95</v>
      </c>
    </row>
    <row r="81" customFormat="false" ht="44" hidden="false" customHeight="false" outlineLevel="0" collapsed="false">
      <c r="A81" s="14" t="s">
        <v>41</v>
      </c>
      <c r="B81" s="14" t="s">
        <v>89</v>
      </c>
      <c r="C81" s="15" t="s">
        <v>90</v>
      </c>
      <c r="D81" s="14" t="s">
        <v>96</v>
      </c>
      <c r="E81" s="14" t="s">
        <v>296</v>
      </c>
      <c r="F81" s="16" t="s">
        <v>98</v>
      </c>
      <c r="G81" s="14" t="n">
        <v>0</v>
      </c>
      <c r="H81" s="14" t="n">
        <v>18</v>
      </c>
      <c r="I81" s="16" t="s">
        <v>297</v>
      </c>
      <c r="J81" s="16"/>
      <c r="K81" s="14"/>
    </row>
    <row r="82" customFormat="false" ht="44" hidden="false" customHeight="false" outlineLevel="0" collapsed="false">
      <c r="A82" s="14" t="s">
        <v>41</v>
      </c>
      <c r="B82" s="14" t="s">
        <v>89</v>
      </c>
      <c r="C82" s="15" t="s">
        <v>90</v>
      </c>
      <c r="D82" s="14" t="s">
        <v>100</v>
      </c>
      <c r="E82" s="14" t="s">
        <v>298</v>
      </c>
      <c r="F82" s="16" t="s">
        <v>102</v>
      </c>
      <c r="G82" s="14" t="n">
        <v>0</v>
      </c>
      <c r="H82" s="14" t="n">
        <v>18</v>
      </c>
      <c r="I82" s="16" t="s">
        <v>299</v>
      </c>
      <c r="J82" s="16"/>
      <c r="K82" s="14"/>
    </row>
    <row r="83" customFormat="false" ht="29.85" hidden="false" customHeight="false" outlineLevel="0" collapsed="false">
      <c r="A83" s="14" t="s">
        <v>41</v>
      </c>
      <c r="B83" s="14" t="s">
        <v>89</v>
      </c>
      <c r="C83" s="15" t="s">
        <v>90</v>
      </c>
      <c r="D83" s="14" t="s">
        <v>104</v>
      </c>
      <c r="E83" s="14" t="s">
        <v>300</v>
      </c>
      <c r="F83" s="16" t="s">
        <v>106</v>
      </c>
      <c r="G83" s="14" t="n">
        <v>0</v>
      </c>
      <c r="H83" s="14" t="n">
        <v>18</v>
      </c>
      <c r="I83" s="16" t="s">
        <v>301</v>
      </c>
      <c r="J83" s="16"/>
      <c r="K83" s="14"/>
    </row>
    <row r="84" customFormat="false" ht="44" hidden="false" customHeight="false" outlineLevel="0" collapsed="false">
      <c r="A84" s="14" t="s">
        <v>41</v>
      </c>
      <c r="B84" s="14" t="s">
        <v>89</v>
      </c>
      <c r="C84" s="15" t="s">
        <v>90</v>
      </c>
      <c r="D84" s="14" t="s">
        <v>108</v>
      </c>
      <c r="E84" s="14" t="s">
        <v>302</v>
      </c>
      <c r="F84" s="16" t="s">
        <v>110</v>
      </c>
      <c r="G84" s="14" t="n">
        <v>0</v>
      </c>
      <c r="H84" s="14" t="n">
        <v>18</v>
      </c>
      <c r="I84" s="16" t="s">
        <v>303</v>
      </c>
      <c r="J84" s="16"/>
      <c r="K84" s="14"/>
    </row>
    <row r="85" customFormat="false" ht="44" hidden="false" customHeight="false" outlineLevel="0" collapsed="false">
      <c r="A85" s="14" t="s">
        <v>41</v>
      </c>
      <c r="B85" s="14" t="s">
        <v>89</v>
      </c>
      <c r="C85" s="15" t="s">
        <v>90</v>
      </c>
      <c r="D85" s="14" t="s">
        <v>112</v>
      </c>
      <c r="E85" s="14" t="s">
        <v>304</v>
      </c>
      <c r="F85" s="16" t="s">
        <v>114</v>
      </c>
      <c r="G85" s="14" t="n">
        <v>0</v>
      </c>
      <c r="H85" s="14" t="n">
        <v>18</v>
      </c>
      <c r="I85" s="16" t="s">
        <v>305</v>
      </c>
      <c r="J85" s="16"/>
      <c r="K85" s="14"/>
    </row>
    <row r="86" customFormat="false" ht="44" hidden="false" customHeight="false" outlineLevel="0" collapsed="false">
      <c r="A86" s="14" t="s">
        <v>41</v>
      </c>
      <c r="B86" s="14" t="s">
        <v>89</v>
      </c>
      <c r="C86" s="15" t="s">
        <v>116</v>
      </c>
      <c r="D86" s="14" t="s">
        <v>91</v>
      </c>
      <c r="E86" s="14" t="s">
        <v>306</v>
      </c>
      <c r="F86" s="16" t="s">
        <v>118</v>
      </c>
      <c r="G86" s="14" t="n">
        <v>19</v>
      </c>
      <c r="H86" s="14" t="n">
        <v>29</v>
      </c>
      <c r="I86" s="16" t="s">
        <v>119</v>
      </c>
      <c r="J86" s="16"/>
      <c r="K86" s="15" t="s">
        <v>95</v>
      </c>
    </row>
    <row r="87" customFormat="false" ht="44" hidden="false" customHeight="false" outlineLevel="0" collapsed="false">
      <c r="A87" s="14" t="s">
        <v>41</v>
      </c>
      <c r="B87" s="14" t="s">
        <v>89</v>
      </c>
      <c r="C87" s="15" t="s">
        <v>116</v>
      </c>
      <c r="D87" s="14" t="s">
        <v>96</v>
      </c>
      <c r="E87" s="14" t="s">
        <v>307</v>
      </c>
      <c r="F87" s="16" t="s">
        <v>121</v>
      </c>
      <c r="G87" s="14" t="n">
        <v>19</v>
      </c>
      <c r="H87" s="14" t="n">
        <v>29</v>
      </c>
      <c r="I87" s="16" t="s">
        <v>122</v>
      </c>
      <c r="J87" s="16"/>
      <c r="K87" s="14"/>
    </row>
    <row r="88" customFormat="false" ht="44" hidden="false" customHeight="false" outlineLevel="0" collapsed="false">
      <c r="A88" s="14" t="s">
        <v>41</v>
      </c>
      <c r="B88" s="14" t="s">
        <v>89</v>
      </c>
      <c r="C88" s="15" t="s">
        <v>116</v>
      </c>
      <c r="D88" s="14" t="s">
        <v>100</v>
      </c>
      <c r="E88" s="14" t="s">
        <v>308</v>
      </c>
      <c r="F88" s="16" t="s">
        <v>124</v>
      </c>
      <c r="G88" s="14" t="n">
        <v>19</v>
      </c>
      <c r="H88" s="14" t="n">
        <v>29</v>
      </c>
      <c r="I88" s="16" t="s">
        <v>309</v>
      </c>
      <c r="J88" s="16"/>
      <c r="K88" s="14"/>
    </row>
    <row r="89" customFormat="false" ht="44" hidden="false" customHeight="false" outlineLevel="0" collapsed="false">
      <c r="A89" s="14" t="s">
        <v>41</v>
      </c>
      <c r="B89" s="14" t="s">
        <v>89</v>
      </c>
      <c r="C89" s="15" t="s">
        <v>116</v>
      </c>
      <c r="D89" s="14" t="s">
        <v>104</v>
      </c>
      <c r="E89" s="14" t="s">
        <v>310</v>
      </c>
      <c r="F89" s="16" t="s">
        <v>127</v>
      </c>
      <c r="G89" s="14" t="n">
        <v>19</v>
      </c>
      <c r="H89" s="14" t="n">
        <v>29</v>
      </c>
      <c r="I89" s="16" t="s">
        <v>311</v>
      </c>
      <c r="J89" s="16"/>
      <c r="K89" s="14"/>
    </row>
    <row r="90" customFormat="false" ht="29.85" hidden="false" customHeight="false" outlineLevel="0" collapsed="false">
      <c r="A90" s="14" t="s">
        <v>41</v>
      </c>
      <c r="B90" s="14" t="s">
        <v>89</v>
      </c>
      <c r="C90" s="15" t="s">
        <v>116</v>
      </c>
      <c r="D90" s="14" t="s">
        <v>108</v>
      </c>
      <c r="E90" s="14" t="s">
        <v>312</v>
      </c>
      <c r="F90" s="16" t="s">
        <v>130</v>
      </c>
      <c r="G90" s="14" t="n">
        <v>19</v>
      </c>
      <c r="H90" s="14" t="n">
        <v>29</v>
      </c>
      <c r="I90" s="16" t="s">
        <v>313</v>
      </c>
      <c r="J90" s="16"/>
      <c r="K90" s="14"/>
    </row>
    <row r="91" customFormat="false" ht="44" hidden="false" customHeight="false" outlineLevel="0" collapsed="false">
      <c r="A91" s="14" t="s">
        <v>41</v>
      </c>
      <c r="B91" s="14" t="s">
        <v>89</v>
      </c>
      <c r="C91" s="15" t="s">
        <v>116</v>
      </c>
      <c r="D91" s="14" t="s">
        <v>112</v>
      </c>
      <c r="E91" s="14" t="s">
        <v>314</v>
      </c>
      <c r="F91" s="16" t="s">
        <v>133</v>
      </c>
      <c r="G91" s="14" t="n">
        <v>19</v>
      </c>
      <c r="H91" s="14" t="n">
        <v>29</v>
      </c>
      <c r="I91" s="16" t="s">
        <v>315</v>
      </c>
      <c r="J91" s="16"/>
      <c r="K91" s="14"/>
    </row>
    <row r="92" customFormat="false" ht="29.85" hidden="false" customHeight="false" outlineLevel="0" collapsed="false">
      <c r="A92" s="14" t="s">
        <v>41</v>
      </c>
      <c r="B92" s="14" t="s">
        <v>89</v>
      </c>
      <c r="C92" s="15" t="s">
        <v>135</v>
      </c>
      <c r="D92" s="14" t="s">
        <v>91</v>
      </c>
      <c r="E92" s="14" t="s">
        <v>316</v>
      </c>
      <c r="F92" s="16" t="s">
        <v>137</v>
      </c>
      <c r="G92" s="14" t="n">
        <v>30</v>
      </c>
      <c r="H92" s="14" t="n">
        <v>44</v>
      </c>
      <c r="I92" s="16" t="s">
        <v>317</v>
      </c>
      <c r="J92" s="16"/>
      <c r="K92" s="14"/>
    </row>
    <row r="93" customFormat="false" ht="29.85" hidden="false" customHeight="false" outlineLevel="0" collapsed="false">
      <c r="A93" s="14" t="s">
        <v>41</v>
      </c>
      <c r="B93" s="14" t="s">
        <v>89</v>
      </c>
      <c r="C93" s="15" t="s">
        <v>135</v>
      </c>
      <c r="D93" s="14" t="s">
        <v>96</v>
      </c>
      <c r="E93" s="14" t="s">
        <v>318</v>
      </c>
      <c r="F93" s="16" t="s">
        <v>140</v>
      </c>
      <c r="G93" s="14" t="n">
        <v>30</v>
      </c>
      <c r="H93" s="14" t="n">
        <v>44</v>
      </c>
      <c r="I93" s="16" t="s">
        <v>319</v>
      </c>
      <c r="J93" s="16"/>
      <c r="K93" s="14"/>
    </row>
    <row r="94" customFormat="false" ht="29.85" hidden="false" customHeight="false" outlineLevel="0" collapsed="false">
      <c r="A94" s="14" t="s">
        <v>41</v>
      </c>
      <c r="B94" s="14" t="s">
        <v>89</v>
      </c>
      <c r="C94" s="15" t="s">
        <v>135</v>
      </c>
      <c r="D94" s="14" t="s">
        <v>100</v>
      </c>
      <c r="E94" s="14" t="s">
        <v>320</v>
      </c>
      <c r="F94" s="16" t="s">
        <v>143</v>
      </c>
      <c r="G94" s="14" t="n">
        <v>30</v>
      </c>
      <c r="H94" s="14" t="n">
        <v>44</v>
      </c>
      <c r="I94" s="16" t="s">
        <v>321</v>
      </c>
      <c r="J94" s="16"/>
      <c r="K94" s="14"/>
    </row>
    <row r="95" customFormat="false" ht="29.85" hidden="false" customHeight="false" outlineLevel="0" collapsed="false">
      <c r="A95" s="14" t="s">
        <v>41</v>
      </c>
      <c r="B95" s="14" t="s">
        <v>89</v>
      </c>
      <c r="C95" s="15" t="s">
        <v>135</v>
      </c>
      <c r="D95" s="14" t="s">
        <v>104</v>
      </c>
      <c r="E95" s="14" t="s">
        <v>322</v>
      </c>
      <c r="F95" s="16" t="s">
        <v>146</v>
      </c>
      <c r="G95" s="14" t="n">
        <v>30</v>
      </c>
      <c r="H95" s="14" t="n">
        <v>44</v>
      </c>
      <c r="I95" s="16" t="s">
        <v>323</v>
      </c>
      <c r="J95" s="16"/>
      <c r="K95" s="14"/>
    </row>
    <row r="96" customFormat="false" ht="29.85" hidden="false" customHeight="false" outlineLevel="0" collapsed="false">
      <c r="A96" s="14" t="s">
        <v>41</v>
      </c>
      <c r="B96" s="14" t="s">
        <v>89</v>
      </c>
      <c r="C96" s="15" t="s">
        <v>135</v>
      </c>
      <c r="D96" s="14" t="s">
        <v>108</v>
      </c>
      <c r="E96" s="14" t="s">
        <v>324</v>
      </c>
      <c r="F96" s="16" t="s">
        <v>149</v>
      </c>
      <c r="G96" s="14" t="n">
        <v>30</v>
      </c>
      <c r="H96" s="14" t="n">
        <v>44</v>
      </c>
      <c r="I96" s="16" t="s">
        <v>325</v>
      </c>
      <c r="J96" s="16"/>
      <c r="K96" s="14"/>
    </row>
    <row r="97" customFormat="false" ht="29.85" hidden="false" customHeight="false" outlineLevel="0" collapsed="false">
      <c r="A97" s="14" t="s">
        <v>41</v>
      </c>
      <c r="B97" s="14" t="s">
        <v>89</v>
      </c>
      <c r="C97" s="15" t="s">
        <v>135</v>
      </c>
      <c r="D97" s="14" t="s">
        <v>112</v>
      </c>
      <c r="E97" s="14" t="s">
        <v>326</v>
      </c>
      <c r="F97" s="16" t="s">
        <v>152</v>
      </c>
      <c r="G97" s="14" t="n">
        <v>30</v>
      </c>
      <c r="H97" s="14" t="n">
        <v>44</v>
      </c>
      <c r="I97" s="16" t="s">
        <v>327</v>
      </c>
      <c r="J97" s="16"/>
      <c r="K97" s="15" t="s">
        <v>95</v>
      </c>
    </row>
    <row r="98" customFormat="false" ht="29.85" hidden="false" customHeight="false" outlineLevel="0" collapsed="false">
      <c r="A98" s="14" t="s">
        <v>41</v>
      </c>
      <c r="B98" s="14" t="s">
        <v>89</v>
      </c>
      <c r="C98" s="15" t="s">
        <v>154</v>
      </c>
      <c r="D98" s="14" t="s">
        <v>91</v>
      </c>
      <c r="E98" s="14" t="s">
        <v>328</v>
      </c>
      <c r="F98" s="16" t="s">
        <v>156</v>
      </c>
      <c r="G98" s="14" t="n">
        <v>45</v>
      </c>
      <c r="H98" s="14" t="n">
        <v>60</v>
      </c>
      <c r="I98" s="16" t="s">
        <v>329</v>
      </c>
      <c r="J98" s="16"/>
      <c r="K98" s="14"/>
    </row>
    <row r="99" customFormat="false" ht="29.85" hidden="false" customHeight="false" outlineLevel="0" collapsed="false">
      <c r="A99" s="14" t="s">
        <v>41</v>
      </c>
      <c r="B99" s="14" t="s">
        <v>89</v>
      </c>
      <c r="C99" s="15" t="s">
        <v>154</v>
      </c>
      <c r="D99" s="14" t="s">
        <v>96</v>
      </c>
      <c r="E99" s="14" t="s">
        <v>330</v>
      </c>
      <c r="F99" s="16" t="s">
        <v>159</v>
      </c>
      <c r="G99" s="14" t="n">
        <v>45</v>
      </c>
      <c r="H99" s="14" t="n">
        <v>60</v>
      </c>
      <c r="I99" s="16" t="s">
        <v>331</v>
      </c>
      <c r="J99" s="16"/>
      <c r="K99" s="14"/>
    </row>
    <row r="100" customFormat="false" ht="29.85" hidden="false" customHeight="false" outlineLevel="0" collapsed="false">
      <c r="A100" s="14" t="s">
        <v>41</v>
      </c>
      <c r="B100" s="14" t="s">
        <v>89</v>
      </c>
      <c r="C100" s="15" t="s">
        <v>154</v>
      </c>
      <c r="D100" s="14" t="s">
        <v>100</v>
      </c>
      <c r="E100" s="14" t="s">
        <v>332</v>
      </c>
      <c r="F100" s="16" t="s">
        <v>162</v>
      </c>
      <c r="G100" s="14" t="n">
        <v>45</v>
      </c>
      <c r="H100" s="14" t="n">
        <v>60</v>
      </c>
      <c r="I100" s="16" t="s">
        <v>333</v>
      </c>
      <c r="J100" s="16"/>
      <c r="K100" s="14"/>
    </row>
    <row r="101" customFormat="false" ht="29.85" hidden="false" customHeight="false" outlineLevel="0" collapsed="false">
      <c r="A101" s="14" t="s">
        <v>41</v>
      </c>
      <c r="B101" s="14" t="s">
        <v>89</v>
      </c>
      <c r="C101" s="15" t="s">
        <v>154</v>
      </c>
      <c r="D101" s="15" t="s">
        <v>164</v>
      </c>
      <c r="E101" s="14" t="s">
        <v>334</v>
      </c>
      <c r="F101" s="16" t="s">
        <v>166</v>
      </c>
      <c r="G101" s="14" t="n">
        <v>45</v>
      </c>
      <c r="H101" s="14" t="n">
        <v>60</v>
      </c>
      <c r="I101" s="16" t="s">
        <v>335</v>
      </c>
      <c r="J101" s="16"/>
      <c r="K101" s="15" t="s">
        <v>95</v>
      </c>
    </row>
    <row r="102" customFormat="false" ht="44" hidden="false" customHeight="false" outlineLevel="0" collapsed="false">
      <c r="A102" s="17" t="s">
        <v>41</v>
      </c>
      <c r="B102" s="17" t="s">
        <v>168</v>
      </c>
      <c r="C102" s="18" t="s">
        <v>90</v>
      </c>
      <c r="D102" s="17" t="s">
        <v>58</v>
      </c>
      <c r="E102" s="17" t="s">
        <v>336</v>
      </c>
      <c r="F102" s="19" t="s">
        <v>170</v>
      </c>
      <c r="G102" s="17" t="n">
        <v>0</v>
      </c>
      <c r="H102" s="17" t="n">
        <v>18</v>
      </c>
      <c r="I102" s="19" t="s">
        <v>337</v>
      </c>
      <c r="J102" s="19"/>
      <c r="K102" s="17"/>
    </row>
    <row r="103" customFormat="false" ht="29.85" hidden="false" customHeight="false" outlineLevel="0" collapsed="false">
      <c r="A103" s="17" t="s">
        <v>41</v>
      </c>
      <c r="B103" s="17" t="s">
        <v>168</v>
      </c>
      <c r="C103" s="18" t="s">
        <v>116</v>
      </c>
      <c r="D103" s="17" t="s">
        <v>58</v>
      </c>
      <c r="E103" s="17" t="s">
        <v>338</v>
      </c>
      <c r="F103" s="19" t="s">
        <v>173</v>
      </c>
      <c r="G103" s="17" t="n">
        <v>19</v>
      </c>
      <c r="H103" s="17" t="n">
        <v>29</v>
      </c>
      <c r="I103" s="19" t="s">
        <v>339</v>
      </c>
      <c r="J103" s="19"/>
      <c r="K103" s="17"/>
    </row>
    <row r="104" customFormat="false" ht="29.85" hidden="false" customHeight="false" outlineLevel="0" collapsed="false">
      <c r="A104" s="17" t="s">
        <v>41</v>
      </c>
      <c r="B104" s="17" t="s">
        <v>168</v>
      </c>
      <c r="C104" s="18" t="s">
        <v>135</v>
      </c>
      <c r="D104" s="17" t="s">
        <v>58</v>
      </c>
      <c r="E104" s="17" t="s">
        <v>340</v>
      </c>
      <c r="F104" s="19" t="s">
        <v>176</v>
      </c>
      <c r="G104" s="17" t="n">
        <v>30</v>
      </c>
      <c r="H104" s="17" t="n">
        <v>44</v>
      </c>
      <c r="I104" s="19" t="s">
        <v>341</v>
      </c>
      <c r="J104" s="19"/>
      <c r="K104" s="17"/>
    </row>
    <row r="105" customFormat="false" ht="29.85" hidden="false" customHeight="false" outlineLevel="0" collapsed="false">
      <c r="A105" s="17" t="s">
        <v>41</v>
      </c>
      <c r="B105" s="17" t="s">
        <v>168</v>
      </c>
      <c r="C105" s="18" t="s">
        <v>154</v>
      </c>
      <c r="D105" s="17" t="s">
        <v>58</v>
      </c>
      <c r="E105" s="17" t="s">
        <v>342</v>
      </c>
      <c r="F105" s="19" t="s">
        <v>179</v>
      </c>
      <c r="G105" s="17" t="n">
        <v>45</v>
      </c>
      <c r="H105" s="17" t="n">
        <v>60</v>
      </c>
      <c r="I105" s="19" t="s">
        <v>343</v>
      </c>
      <c r="J105" s="19"/>
      <c r="K105" s="17"/>
    </row>
    <row r="106" customFormat="false" ht="44" hidden="false" customHeight="false" outlineLevel="0" collapsed="false">
      <c r="A106" s="20" t="s">
        <v>41</v>
      </c>
      <c r="B106" s="20" t="s">
        <v>181</v>
      </c>
      <c r="C106" s="21" t="s">
        <v>90</v>
      </c>
      <c r="D106" s="20" t="s">
        <v>58</v>
      </c>
      <c r="E106" s="20" t="s">
        <v>344</v>
      </c>
      <c r="F106" s="22" t="s">
        <v>183</v>
      </c>
      <c r="G106" s="20" t="n">
        <v>0</v>
      </c>
      <c r="H106" s="20" t="n">
        <v>18</v>
      </c>
      <c r="I106" s="22" t="s">
        <v>345</v>
      </c>
      <c r="J106" s="22"/>
      <c r="K106" s="20"/>
    </row>
    <row r="107" customFormat="false" ht="44" hidden="false" customHeight="false" outlineLevel="0" collapsed="false">
      <c r="A107" s="20" t="s">
        <v>41</v>
      </c>
      <c r="B107" s="20" t="s">
        <v>181</v>
      </c>
      <c r="C107" s="21" t="s">
        <v>116</v>
      </c>
      <c r="D107" s="20" t="s">
        <v>58</v>
      </c>
      <c r="E107" s="20" t="s">
        <v>346</v>
      </c>
      <c r="F107" s="22" t="s">
        <v>186</v>
      </c>
      <c r="G107" s="20" t="n">
        <v>19</v>
      </c>
      <c r="H107" s="20" t="n">
        <v>29</v>
      </c>
      <c r="I107" s="22" t="s">
        <v>347</v>
      </c>
      <c r="J107" s="22"/>
      <c r="K107" s="20"/>
    </row>
    <row r="108" customFormat="false" ht="29.85" hidden="false" customHeight="false" outlineLevel="0" collapsed="false">
      <c r="A108" s="20" t="s">
        <v>41</v>
      </c>
      <c r="B108" s="20" t="s">
        <v>181</v>
      </c>
      <c r="C108" s="21" t="s">
        <v>135</v>
      </c>
      <c r="D108" s="20" t="s">
        <v>58</v>
      </c>
      <c r="E108" s="20" t="s">
        <v>348</v>
      </c>
      <c r="F108" s="22" t="s">
        <v>189</v>
      </c>
      <c r="G108" s="20" t="n">
        <v>30</v>
      </c>
      <c r="H108" s="20" t="n">
        <v>44</v>
      </c>
      <c r="I108" s="22" t="s">
        <v>349</v>
      </c>
      <c r="J108" s="22"/>
      <c r="K108" s="20"/>
    </row>
    <row r="109" customFormat="false" ht="29.85" hidden="false" customHeight="false" outlineLevel="0" collapsed="false">
      <c r="A109" s="20" t="s">
        <v>41</v>
      </c>
      <c r="B109" s="20" t="s">
        <v>181</v>
      </c>
      <c r="C109" s="21" t="s">
        <v>154</v>
      </c>
      <c r="D109" s="20" t="s">
        <v>58</v>
      </c>
      <c r="E109" s="20" t="s">
        <v>350</v>
      </c>
      <c r="F109" s="22" t="s">
        <v>192</v>
      </c>
      <c r="G109" s="20" t="n">
        <v>45</v>
      </c>
      <c r="H109" s="20" t="n">
        <v>60</v>
      </c>
      <c r="I109" s="22" t="s">
        <v>351</v>
      </c>
      <c r="J109" s="22"/>
      <c r="K109" s="20"/>
    </row>
    <row r="110" customFormat="false" ht="29.85" hidden="false" customHeight="false" outlineLevel="0" collapsed="false">
      <c r="A110" s="10" t="s">
        <v>42</v>
      </c>
      <c r="B110" s="10" t="s">
        <v>56</v>
      </c>
      <c r="C110" s="11" t="s">
        <v>57</v>
      </c>
      <c r="D110" s="10" t="s">
        <v>58</v>
      </c>
      <c r="E110" s="10" t="s">
        <v>352</v>
      </c>
      <c r="F110" s="12" t="s">
        <v>195</v>
      </c>
      <c r="G110" s="10" t="n">
        <v>90</v>
      </c>
      <c r="H110" s="10" t="n">
        <v>180</v>
      </c>
      <c r="I110" s="12" t="s">
        <v>61</v>
      </c>
      <c r="J110" s="12" t="s">
        <v>353</v>
      </c>
      <c r="K110" s="11" t="s">
        <v>63</v>
      </c>
    </row>
    <row r="111" customFormat="false" ht="29.85" hidden="false" customHeight="false" outlineLevel="0" collapsed="false">
      <c r="A111" s="10" t="s">
        <v>42</v>
      </c>
      <c r="B111" s="10" t="s">
        <v>56</v>
      </c>
      <c r="C111" s="11" t="s">
        <v>64</v>
      </c>
      <c r="D111" s="10" t="s">
        <v>58</v>
      </c>
      <c r="E111" s="10" t="s">
        <v>354</v>
      </c>
      <c r="F111" s="12" t="s">
        <v>198</v>
      </c>
      <c r="G111" s="10" t="n">
        <v>0</v>
      </c>
      <c r="H111" s="10" t="n">
        <v>70</v>
      </c>
      <c r="I111" s="12" t="s">
        <v>355</v>
      </c>
      <c r="J111" s="12" t="s">
        <v>356</v>
      </c>
      <c r="K111" s="10"/>
    </row>
    <row r="112" customFormat="false" ht="29.85" hidden="false" customHeight="false" outlineLevel="0" collapsed="false">
      <c r="A112" s="10" t="s">
        <v>42</v>
      </c>
      <c r="B112" s="10" t="s">
        <v>56</v>
      </c>
      <c r="C112" s="11" t="s">
        <v>69</v>
      </c>
      <c r="D112" s="10" t="s">
        <v>58</v>
      </c>
      <c r="E112" s="10" t="s">
        <v>357</v>
      </c>
      <c r="F112" s="12" t="s">
        <v>202</v>
      </c>
      <c r="G112" s="10" t="n">
        <v>71</v>
      </c>
      <c r="H112" s="10" t="n">
        <v>89</v>
      </c>
      <c r="I112" s="12" t="s">
        <v>358</v>
      </c>
      <c r="J112" s="12" t="s">
        <v>359</v>
      </c>
      <c r="K112" s="10"/>
    </row>
    <row r="113" customFormat="false" ht="44" hidden="false" customHeight="false" outlineLevel="0" collapsed="false">
      <c r="A113" s="10" t="s">
        <v>42</v>
      </c>
      <c r="B113" s="10" t="s">
        <v>56</v>
      </c>
      <c r="C113" s="11" t="s">
        <v>74</v>
      </c>
      <c r="D113" s="10" t="s">
        <v>58</v>
      </c>
      <c r="E113" s="10" t="s">
        <v>360</v>
      </c>
      <c r="F113" s="12" t="s">
        <v>206</v>
      </c>
      <c r="G113" s="10" t="n">
        <v>90</v>
      </c>
      <c r="H113" s="10" t="n">
        <v>104</v>
      </c>
      <c r="I113" s="12" t="s">
        <v>77</v>
      </c>
      <c r="J113" s="13" t="s">
        <v>361</v>
      </c>
      <c r="K113" s="10"/>
    </row>
    <row r="114" customFormat="false" ht="29.85" hidden="false" customHeight="false" outlineLevel="0" collapsed="false">
      <c r="A114" s="10" t="s">
        <v>42</v>
      </c>
      <c r="B114" s="10" t="s">
        <v>56</v>
      </c>
      <c r="C114" s="11" t="s">
        <v>79</v>
      </c>
      <c r="D114" s="10" t="s">
        <v>58</v>
      </c>
      <c r="E114" s="10" t="s">
        <v>362</v>
      </c>
      <c r="F114" s="12" t="s">
        <v>209</v>
      </c>
      <c r="G114" s="10" t="n">
        <v>105</v>
      </c>
      <c r="H114" s="10" t="n">
        <v>129</v>
      </c>
      <c r="I114" s="12" t="s">
        <v>363</v>
      </c>
      <c r="J114" s="12" t="s">
        <v>364</v>
      </c>
      <c r="K114" s="10"/>
    </row>
    <row r="115" customFormat="false" ht="15" hidden="false" customHeight="false" outlineLevel="0" collapsed="false">
      <c r="A115" s="10" t="s">
        <v>42</v>
      </c>
      <c r="B115" s="10" t="s">
        <v>56</v>
      </c>
      <c r="C115" s="11" t="s">
        <v>84</v>
      </c>
      <c r="D115" s="10" t="s">
        <v>58</v>
      </c>
      <c r="E115" s="10" t="s">
        <v>365</v>
      </c>
      <c r="F115" s="12" t="s">
        <v>213</v>
      </c>
      <c r="G115" s="10" t="n">
        <v>130</v>
      </c>
      <c r="H115" s="10" t="n">
        <v>180</v>
      </c>
      <c r="I115" s="12" t="s">
        <v>366</v>
      </c>
      <c r="J115" s="13" t="s">
        <v>367</v>
      </c>
      <c r="K115" s="10"/>
    </row>
    <row r="116" customFormat="false" ht="58.2" hidden="false" customHeight="false" outlineLevel="0" collapsed="false">
      <c r="A116" s="14" t="s">
        <v>42</v>
      </c>
      <c r="B116" s="14" t="s">
        <v>89</v>
      </c>
      <c r="C116" s="15" t="s">
        <v>90</v>
      </c>
      <c r="D116" s="14" t="s">
        <v>91</v>
      </c>
      <c r="E116" s="14" t="s">
        <v>368</v>
      </c>
      <c r="F116" s="16" t="s">
        <v>369</v>
      </c>
      <c r="G116" s="14" t="n">
        <v>0</v>
      </c>
      <c r="H116" s="14" t="n">
        <v>37</v>
      </c>
      <c r="I116" s="16" t="s">
        <v>370</v>
      </c>
      <c r="J116" s="16"/>
      <c r="K116" s="14"/>
    </row>
    <row r="117" customFormat="false" ht="58.2" hidden="false" customHeight="false" outlineLevel="0" collapsed="false">
      <c r="A117" s="14" t="s">
        <v>42</v>
      </c>
      <c r="B117" s="14" t="s">
        <v>89</v>
      </c>
      <c r="C117" s="15" t="s">
        <v>90</v>
      </c>
      <c r="D117" s="14" t="s">
        <v>96</v>
      </c>
      <c r="E117" s="14" t="s">
        <v>371</v>
      </c>
      <c r="F117" s="16" t="s">
        <v>372</v>
      </c>
      <c r="G117" s="14" t="n">
        <v>0</v>
      </c>
      <c r="H117" s="14" t="n">
        <v>37</v>
      </c>
      <c r="I117" s="16" t="s">
        <v>373</v>
      </c>
      <c r="J117" s="16"/>
      <c r="K117" s="14"/>
    </row>
    <row r="118" customFormat="false" ht="44" hidden="false" customHeight="false" outlineLevel="0" collapsed="false">
      <c r="A118" s="14" t="s">
        <v>42</v>
      </c>
      <c r="B118" s="14" t="s">
        <v>89</v>
      </c>
      <c r="C118" s="15" t="s">
        <v>90</v>
      </c>
      <c r="D118" s="14" t="s">
        <v>100</v>
      </c>
      <c r="E118" s="14" t="s">
        <v>374</v>
      </c>
      <c r="F118" s="16" t="s">
        <v>375</v>
      </c>
      <c r="G118" s="14" t="n">
        <v>0</v>
      </c>
      <c r="H118" s="14" t="n">
        <v>37</v>
      </c>
      <c r="I118" s="16" t="s">
        <v>376</v>
      </c>
      <c r="J118" s="16"/>
      <c r="K118" s="14"/>
    </row>
    <row r="119" customFormat="false" ht="44" hidden="false" customHeight="false" outlineLevel="0" collapsed="false">
      <c r="A119" s="14" t="s">
        <v>42</v>
      </c>
      <c r="B119" s="14" t="s">
        <v>89</v>
      </c>
      <c r="C119" s="15" t="s">
        <v>90</v>
      </c>
      <c r="D119" s="14" t="s">
        <v>104</v>
      </c>
      <c r="E119" s="14" t="s">
        <v>377</v>
      </c>
      <c r="F119" s="16" t="s">
        <v>378</v>
      </c>
      <c r="G119" s="14" t="n">
        <v>0</v>
      </c>
      <c r="H119" s="14" t="n">
        <v>37</v>
      </c>
      <c r="I119" s="16" t="s">
        <v>379</v>
      </c>
      <c r="J119" s="16"/>
      <c r="K119" s="14"/>
    </row>
    <row r="120" customFormat="false" ht="44" hidden="false" customHeight="false" outlineLevel="0" collapsed="false">
      <c r="A120" s="14" t="s">
        <v>42</v>
      </c>
      <c r="B120" s="14" t="s">
        <v>89</v>
      </c>
      <c r="C120" s="15" t="s">
        <v>90</v>
      </c>
      <c r="D120" s="14" t="s">
        <v>108</v>
      </c>
      <c r="E120" s="14" t="s">
        <v>380</v>
      </c>
      <c r="F120" s="16" t="s">
        <v>381</v>
      </c>
      <c r="G120" s="14" t="n">
        <v>0</v>
      </c>
      <c r="H120" s="14" t="n">
        <v>37</v>
      </c>
      <c r="I120" s="16" t="s">
        <v>382</v>
      </c>
      <c r="J120" s="16"/>
      <c r="K120" s="14"/>
    </row>
    <row r="121" customFormat="false" ht="44" hidden="false" customHeight="false" outlineLevel="0" collapsed="false">
      <c r="A121" s="14" t="s">
        <v>42</v>
      </c>
      <c r="B121" s="14" t="s">
        <v>89</v>
      </c>
      <c r="C121" s="15" t="s">
        <v>90</v>
      </c>
      <c r="D121" s="14" t="s">
        <v>112</v>
      </c>
      <c r="E121" s="14" t="s">
        <v>383</v>
      </c>
      <c r="F121" s="16" t="s">
        <v>384</v>
      </c>
      <c r="G121" s="14" t="n">
        <v>0</v>
      </c>
      <c r="H121" s="14" t="n">
        <v>37</v>
      </c>
      <c r="I121" s="16" t="s">
        <v>385</v>
      </c>
      <c r="J121" s="16"/>
      <c r="K121" s="14"/>
    </row>
    <row r="122" customFormat="false" ht="44" hidden="false" customHeight="false" outlineLevel="0" collapsed="false">
      <c r="A122" s="14" t="s">
        <v>42</v>
      </c>
      <c r="B122" s="14" t="s">
        <v>89</v>
      </c>
      <c r="C122" s="15" t="s">
        <v>116</v>
      </c>
      <c r="D122" s="14" t="s">
        <v>91</v>
      </c>
      <c r="E122" s="14" t="s">
        <v>386</v>
      </c>
      <c r="F122" s="16" t="s">
        <v>387</v>
      </c>
      <c r="G122" s="14" t="n">
        <v>38</v>
      </c>
      <c r="H122" s="14" t="n">
        <v>59</v>
      </c>
      <c r="I122" s="16" t="s">
        <v>388</v>
      </c>
      <c r="J122" s="16"/>
      <c r="K122" s="14"/>
    </row>
    <row r="123" customFormat="false" ht="44" hidden="false" customHeight="false" outlineLevel="0" collapsed="false">
      <c r="A123" s="14" t="s">
        <v>42</v>
      </c>
      <c r="B123" s="14" t="s">
        <v>89</v>
      </c>
      <c r="C123" s="15" t="s">
        <v>116</v>
      </c>
      <c r="D123" s="14" t="s">
        <v>96</v>
      </c>
      <c r="E123" s="14" t="s">
        <v>389</v>
      </c>
      <c r="F123" s="16" t="s">
        <v>390</v>
      </c>
      <c r="G123" s="14" t="n">
        <v>38</v>
      </c>
      <c r="H123" s="14" t="n">
        <v>59</v>
      </c>
      <c r="I123" s="16" t="s">
        <v>391</v>
      </c>
      <c r="J123" s="16"/>
      <c r="K123" s="14"/>
    </row>
    <row r="124" customFormat="false" ht="44" hidden="false" customHeight="false" outlineLevel="0" collapsed="false">
      <c r="A124" s="14" t="s">
        <v>42</v>
      </c>
      <c r="B124" s="14" t="s">
        <v>89</v>
      </c>
      <c r="C124" s="15" t="s">
        <v>116</v>
      </c>
      <c r="D124" s="14" t="s">
        <v>100</v>
      </c>
      <c r="E124" s="14" t="s">
        <v>392</v>
      </c>
      <c r="F124" s="16" t="s">
        <v>393</v>
      </c>
      <c r="G124" s="14" t="n">
        <v>38</v>
      </c>
      <c r="H124" s="14" t="n">
        <v>59</v>
      </c>
      <c r="I124" s="16" t="s">
        <v>394</v>
      </c>
      <c r="J124" s="16"/>
      <c r="K124" s="14"/>
    </row>
    <row r="125" customFormat="false" ht="44" hidden="false" customHeight="false" outlineLevel="0" collapsed="false">
      <c r="A125" s="14" t="s">
        <v>42</v>
      </c>
      <c r="B125" s="14" t="s">
        <v>89</v>
      </c>
      <c r="C125" s="15" t="s">
        <v>116</v>
      </c>
      <c r="D125" s="14" t="s">
        <v>104</v>
      </c>
      <c r="E125" s="14" t="s">
        <v>395</v>
      </c>
      <c r="F125" s="16" t="s">
        <v>396</v>
      </c>
      <c r="G125" s="14" t="n">
        <v>38</v>
      </c>
      <c r="H125" s="14" t="n">
        <v>59</v>
      </c>
      <c r="I125" s="16" t="s">
        <v>397</v>
      </c>
      <c r="J125" s="16"/>
      <c r="K125" s="14"/>
    </row>
    <row r="126" customFormat="false" ht="29.85" hidden="false" customHeight="false" outlineLevel="0" collapsed="false">
      <c r="A126" s="14" t="s">
        <v>42</v>
      </c>
      <c r="B126" s="14" t="s">
        <v>89</v>
      </c>
      <c r="C126" s="15" t="s">
        <v>116</v>
      </c>
      <c r="D126" s="14" t="s">
        <v>108</v>
      </c>
      <c r="E126" s="14" t="s">
        <v>398</v>
      </c>
      <c r="F126" s="16" t="s">
        <v>399</v>
      </c>
      <c r="G126" s="14" t="n">
        <v>38</v>
      </c>
      <c r="H126" s="14" t="n">
        <v>59</v>
      </c>
      <c r="I126" s="16" t="s">
        <v>400</v>
      </c>
      <c r="J126" s="16"/>
      <c r="K126" s="14"/>
    </row>
    <row r="127" customFormat="false" ht="29.85" hidden="false" customHeight="false" outlineLevel="0" collapsed="false">
      <c r="A127" s="14" t="s">
        <v>42</v>
      </c>
      <c r="B127" s="14" t="s">
        <v>89</v>
      </c>
      <c r="C127" s="15" t="s">
        <v>116</v>
      </c>
      <c r="D127" s="14" t="s">
        <v>112</v>
      </c>
      <c r="E127" s="14" t="s">
        <v>401</v>
      </c>
      <c r="F127" s="16" t="s">
        <v>402</v>
      </c>
      <c r="G127" s="14" t="n">
        <v>38</v>
      </c>
      <c r="H127" s="14" t="n">
        <v>59</v>
      </c>
      <c r="I127" s="16" t="s">
        <v>403</v>
      </c>
      <c r="J127" s="16"/>
      <c r="K127" s="14"/>
    </row>
    <row r="128" customFormat="false" ht="44" hidden="false" customHeight="false" outlineLevel="0" collapsed="false">
      <c r="A128" s="14" t="s">
        <v>42</v>
      </c>
      <c r="B128" s="14" t="s">
        <v>89</v>
      </c>
      <c r="C128" s="15" t="s">
        <v>135</v>
      </c>
      <c r="D128" s="14" t="s">
        <v>91</v>
      </c>
      <c r="E128" s="14" t="s">
        <v>404</v>
      </c>
      <c r="F128" s="16" t="s">
        <v>405</v>
      </c>
      <c r="G128" s="14" t="n">
        <v>60</v>
      </c>
      <c r="H128" s="14" t="n">
        <v>89</v>
      </c>
      <c r="I128" s="16" t="s">
        <v>406</v>
      </c>
      <c r="J128" s="16"/>
      <c r="K128" s="14"/>
    </row>
    <row r="129" customFormat="false" ht="29.85" hidden="false" customHeight="false" outlineLevel="0" collapsed="false">
      <c r="A129" s="14" t="s">
        <v>42</v>
      </c>
      <c r="B129" s="14" t="s">
        <v>89</v>
      </c>
      <c r="C129" s="15" t="s">
        <v>135</v>
      </c>
      <c r="D129" s="14" t="s">
        <v>96</v>
      </c>
      <c r="E129" s="14" t="s">
        <v>407</v>
      </c>
      <c r="F129" s="16" t="s">
        <v>408</v>
      </c>
      <c r="G129" s="14" t="n">
        <v>60</v>
      </c>
      <c r="H129" s="14" t="n">
        <v>89</v>
      </c>
      <c r="I129" s="16" t="s">
        <v>409</v>
      </c>
      <c r="J129" s="16"/>
      <c r="K129" s="14"/>
    </row>
    <row r="130" customFormat="false" ht="44" hidden="false" customHeight="false" outlineLevel="0" collapsed="false">
      <c r="A130" s="14" t="s">
        <v>42</v>
      </c>
      <c r="B130" s="14" t="s">
        <v>89</v>
      </c>
      <c r="C130" s="15" t="s">
        <v>135</v>
      </c>
      <c r="D130" s="14" t="s">
        <v>100</v>
      </c>
      <c r="E130" s="14" t="s">
        <v>410</v>
      </c>
      <c r="F130" s="16" t="s">
        <v>411</v>
      </c>
      <c r="G130" s="14" t="n">
        <v>60</v>
      </c>
      <c r="H130" s="14" t="n">
        <v>89</v>
      </c>
      <c r="I130" s="16" t="s">
        <v>412</v>
      </c>
      <c r="J130" s="16"/>
      <c r="K130" s="14"/>
    </row>
    <row r="131" customFormat="false" ht="29.85" hidden="false" customHeight="false" outlineLevel="0" collapsed="false">
      <c r="A131" s="14" t="s">
        <v>42</v>
      </c>
      <c r="B131" s="14" t="s">
        <v>89</v>
      </c>
      <c r="C131" s="15" t="s">
        <v>135</v>
      </c>
      <c r="D131" s="14" t="s">
        <v>104</v>
      </c>
      <c r="E131" s="14" t="s">
        <v>413</v>
      </c>
      <c r="F131" s="16" t="s">
        <v>414</v>
      </c>
      <c r="G131" s="14" t="n">
        <v>60</v>
      </c>
      <c r="H131" s="14" t="n">
        <v>89</v>
      </c>
      <c r="I131" s="16" t="s">
        <v>415</v>
      </c>
      <c r="J131" s="16"/>
      <c r="K131" s="14"/>
    </row>
    <row r="132" customFormat="false" ht="29.85" hidden="false" customHeight="false" outlineLevel="0" collapsed="false">
      <c r="A132" s="14" t="s">
        <v>42</v>
      </c>
      <c r="B132" s="14" t="s">
        <v>89</v>
      </c>
      <c r="C132" s="15" t="s">
        <v>135</v>
      </c>
      <c r="D132" s="14" t="s">
        <v>108</v>
      </c>
      <c r="E132" s="14" t="s">
        <v>416</v>
      </c>
      <c r="F132" s="16" t="s">
        <v>417</v>
      </c>
      <c r="G132" s="14" t="n">
        <v>60</v>
      </c>
      <c r="H132" s="14" t="n">
        <v>89</v>
      </c>
      <c r="I132" s="16" t="s">
        <v>418</v>
      </c>
      <c r="J132" s="16"/>
      <c r="K132" s="14"/>
    </row>
    <row r="133" customFormat="false" ht="29.85" hidden="false" customHeight="false" outlineLevel="0" collapsed="false">
      <c r="A133" s="14" t="s">
        <v>42</v>
      </c>
      <c r="B133" s="14" t="s">
        <v>89</v>
      </c>
      <c r="C133" s="15" t="s">
        <v>135</v>
      </c>
      <c r="D133" s="14" t="s">
        <v>112</v>
      </c>
      <c r="E133" s="14" t="s">
        <v>419</v>
      </c>
      <c r="F133" s="16" t="s">
        <v>420</v>
      </c>
      <c r="G133" s="14" t="n">
        <v>60</v>
      </c>
      <c r="H133" s="14" t="n">
        <v>89</v>
      </c>
      <c r="I133" s="16" t="s">
        <v>421</v>
      </c>
      <c r="J133" s="16"/>
      <c r="K133" s="15" t="s">
        <v>95</v>
      </c>
    </row>
    <row r="134" customFormat="false" ht="29.85" hidden="false" customHeight="false" outlineLevel="0" collapsed="false">
      <c r="A134" s="14" t="s">
        <v>42</v>
      </c>
      <c r="B134" s="14" t="s">
        <v>89</v>
      </c>
      <c r="C134" s="15" t="s">
        <v>154</v>
      </c>
      <c r="D134" s="14" t="s">
        <v>91</v>
      </c>
      <c r="E134" s="14" t="s">
        <v>422</v>
      </c>
      <c r="F134" s="16" t="s">
        <v>423</v>
      </c>
      <c r="G134" s="14" t="n">
        <v>90</v>
      </c>
      <c r="H134" s="14" t="n">
        <v>120</v>
      </c>
      <c r="I134" s="16" t="s">
        <v>424</v>
      </c>
      <c r="J134" s="16"/>
      <c r="K134" s="14"/>
    </row>
    <row r="135" customFormat="false" ht="29.85" hidden="false" customHeight="false" outlineLevel="0" collapsed="false">
      <c r="A135" s="14" t="s">
        <v>42</v>
      </c>
      <c r="B135" s="14" t="s">
        <v>89</v>
      </c>
      <c r="C135" s="15" t="s">
        <v>154</v>
      </c>
      <c r="D135" s="14" t="s">
        <v>96</v>
      </c>
      <c r="E135" s="14" t="s">
        <v>425</v>
      </c>
      <c r="F135" s="16" t="s">
        <v>426</v>
      </c>
      <c r="G135" s="14" t="n">
        <v>90</v>
      </c>
      <c r="H135" s="14" t="n">
        <v>120</v>
      </c>
      <c r="I135" s="16" t="s">
        <v>427</v>
      </c>
      <c r="J135" s="16"/>
      <c r="K135" s="14"/>
    </row>
    <row r="136" customFormat="false" ht="29.85" hidden="false" customHeight="false" outlineLevel="0" collapsed="false">
      <c r="A136" s="14" t="s">
        <v>42</v>
      </c>
      <c r="B136" s="14" t="s">
        <v>89</v>
      </c>
      <c r="C136" s="15" t="s">
        <v>154</v>
      </c>
      <c r="D136" s="14" t="s">
        <v>100</v>
      </c>
      <c r="E136" s="14" t="s">
        <v>428</v>
      </c>
      <c r="F136" s="16" t="s">
        <v>429</v>
      </c>
      <c r="G136" s="14" t="n">
        <v>90</v>
      </c>
      <c r="H136" s="14" t="n">
        <v>120</v>
      </c>
      <c r="I136" s="16" t="s">
        <v>430</v>
      </c>
      <c r="J136" s="16"/>
      <c r="K136" s="14"/>
    </row>
    <row r="137" customFormat="false" ht="29.85" hidden="false" customHeight="false" outlineLevel="0" collapsed="false">
      <c r="A137" s="14" t="s">
        <v>42</v>
      </c>
      <c r="B137" s="14" t="s">
        <v>89</v>
      </c>
      <c r="C137" s="15" t="s">
        <v>154</v>
      </c>
      <c r="D137" s="15" t="s">
        <v>164</v>
      </c>
      <c r="E137" s="14" t="s">
        <v>431</v>
      </c>
      <c r="F137" s="16" t="s">
        <v>432</v>
      </c>
      <c r="G137" s="14" t="n">
        <v>90</v>
      </c>
      <c r="H137" s="14" t="n">
        <v>120</v>
      </c>
      <c r="I137" s="16" t="s">
        <v>433</v>
      </c>
      <c r="J137" s="16"/>
      <c r="K137" s="15" t="s">
        <v>95</v>
      </c>
    </row>
    <row r="138" customFormat="false" ht="44" hidden="false" customHeight="false" outlineLevel="0" collapsed="false">
      <c r="A138" s="20" t="s">
        <v>42</v>
      </c>
      <c r="B138" s="20" t="s">
        <v>181</v>
      </c>
      <c r="C138" s="21" t="s">
        <v>90</v>
      </c>
      <c r="D138" s="20" t="s">
        <v>58</v>
      </c>
      <c r="E138" s="20" t="s">
        <v>434</v>
      </c>
      <c r="F138" s="22" t="s">
        <v>183</v>
      </c>
      <c r="G138" s="20" t="n">
        <v>0</v>
      </c>
      <c r="H138" s="20" t="n">
        <v>18</v>
      </c>
      <c r="I138" s="22" t="s">
        <v>435</v>
      </c>
      <c r="J138" s="22"/>
      <c r="K138" s="20"/>
    </row>
    <row r="139" customFormat="false" ht="29.85" hidden="false" customHeight="false" outlineLevel="0" collapsed="false">
      <c r="A139" s="20" t="s">
        <v>42</v>
      </c>
      <c r="B139" s="20" t="s">
        <v>181</v>
      </c>
      <c r="C139" s="21" t="s">
        <v>116</v>
      </c>
      <c r="D139" s="20" t="s">
        <v>58</v>
      </c>
      <c r="E139" s="20" t="s">
        <v>436</v>
      </c>
      <c r="F139" s="22" t="s">
        <v>186</v>
      </c>
      <c r="G139" s="20" t="n">
        <v>19</v>
      </c>
      <c r="H139" s="20" t="n">
        <v>29</v>
      </c>
      <c r="I139" s="22" t="s">
        <v>437</v>
      </c>
      <c r="J139" s="22"/>
      <c r="K139" s="20"/>
    </row>
    <row r="140" customFormat="false" ht="44" hidden="false" customHeight="false" outlineLevel="0" collapsed="false">
      <c r="A140" s="20" t="s">
        <v>42</v>
      </c>
      <c r="B140" s="20" t="s">
        <v>181</v>
      </c>
      <c r="C140" s="21" t="s">
        <v>135</v>
      </c>
      <c r="D140" s="20" t="s">
        <v>58</v>
      </c>
      <c r="E140" s="20" t="s">
        <v>438</v>
      </c>
      <c r="F140" s="22" t="s">
        <v>189</v>
      </c>
      <c r="G140" s="20" t="n">
        <v>30</v>
      </c>
      <c r="H140" s="20" t="n">
        <v>44</v>
      </c>
      <c r="I140" s="22" t="s">
        <v>439</v>
      </c>
      <c r="J140" s="22"/>
      <c r="K140" s="20"/>
    </row>
    <row r="141" customFormat="false" ht="29.85" hidden="false" customHeight="false" outlineLevel="0" collapsed="false">
      <c r="A141" s="20" t="s">
        <v>42</v>
      </c>
      <c r="B141" s="20" t="s">
        <v>181</v>
      </c>
      <c r="C141" s="21" t="s">
        <v>154</v>
      </c>
      <c r="D141" s="20" t="s">
        <v>58</v>
      </c>
      <c r="E141" s="20" t="s">
        <v>440</v>
      </c>
      <c r="F141" s="22" t="s">
        <v>192</v>
      </c>
      <c r="G141" s="20" t="n">
        <v>45</v>
      </c>
      <c r="H141" s="20" t="n">
        <v>60</v>
      </c>
      <c r="I141" s="22" t="s">
        <v>441</v>
      </c>
      <c r="J141" s="22"/>
      <c r="K141" s="20"/>
    </row>
    <row r="142" customFormat="false" ht="29.85" hidden="false" customHeight="false" outlineLevel="0" collapsed="false">
      <c r="A142" s="10" t="s">
        <v>44</v>
      </c>
      <c r="B142" s="10" t="s">
        <v>56</v>
      </c>
      <c r="C142" s="11" t="s">
        <v>57</v>
      </c>
      <c r="D142" s="10" t="s">
        <v>58</v>
      </c>
      <c r="E142" s="10" t="s">
        <v>442</v>
      </c>
      <c r="F142" s="12" t="s">
        <v>443</v>
      </c>
      <c r="G142" s="10" t="n">
        <v>80</v>
      </c>
      <c r="H142" s="10" t="n">
        <v>180</v>
      </c>
      <c r="I142" s="12" t="s">
        <v>61</v>
      </c>
      <c r="J142" s="12" t="s">
        <v>444</v>
      </c>
      <c r="K142" s="11" t="s">
        <v>63</v>
      </c>
    </row>
    <row r="143" customFormat="false" ht="29.85" hidden="false" customHeight="false" outlineLevel="0" collapsed="false">
      <c r="A143" s="10" t="s">
        <v>44</v>
      </c>
      <c r="B143" s="10" t="s">
        <v>56</v>
      </c>
      <c r="C143" s="11" t="s">
        <v>64</v>
      </c>
      <c r="D143" s="10" t="s">
        <v>58</v>
      </c>
      <c r="E143" s="10" t="s">
        <v>445</v>
      </c>
      <c r="F143" s="12" t="s">
        <v>446</v>
      </c>
      <c r="G143" s="10" t="n">
        <v>0</v>
      </c>
      <c r="H143" s="10" t="n">
        <v>60</v>
      </c>
      <c r="I143" s="12" t="s">
        <v>447</v>
      </c>
      <c r="J143" s="12" t="s">
        <v>448</v>
      </c>
      <c r="K143" s="10"/>
    </row>
    <row r="144" customFormat="false" ht="29.85" hidden="false" customHeight="false" outlineLevel="0" collapsed="false">
      <c r="A144" s="10" t="s">
        <v>44</v>
      </c>
      <c r="B144" s="10" t="s">
        <v>56</v>
      </c>
      <c r="C144" s="11" t="s">
        <v>69</v>
      </c>
      <c r="D144" s="10" t="s">
        <v>58</v>
      </c>
      <c r="E144" s="10" t="s">
        <v>449</v>
      </c>
      <c r="F144" s="12" t="s">
        <v>450</v>
      </c>
      <c r="G144" s="10" t="n">
        <v>61</v>
      </c>
      <c r="H144" s="10" t="n">
        <v>79</v>
      </c>
      <c r="I144" s="12" t="s">
        <v>451</v>
      </c>
      <c r="J144" s="12" t="s">
        <v>452</v>
      </c>
      <c r="K144" s="10"/>
    </row>
    <row r="145" customFormat="false" ht="44" hidden="false" customHeight="false" outlineLevel="0" collapsed="false">
      <c r="A145" s="10" t="s">
        <v>44</v>
      </c>
      <c r="B145" s="10" t="s">
        <v>56</v>
      </c>
      <c r="C145" s="11" t="s">
        <v>74</v>
      </c>
      <c r="D145" s="10" t="s">
        <v>58</v>
      </c>
      <c r="E145" s="10" t="s">
        <v>453</v>
      </c>
      <c r="F145" s="12" t="s">
        <v>454</v>
      </c>
      <c r="G145" s="10" t="n">
        <v>80</v>
      </c>
      <c r="H145" s="10" t="n">
        <v>94</v>
      </c>
      <c r="I145" s="12" t="s">
        <v>77</v>
      </c>
      <c r="J145" s="13" t="s">
        <v>455</v>
      </c>
      <c r="K145" s="10"/>
    </row>
    <row r="146" customFormat="false" ht="29.85" hidden="false" customHeight="false" outlineLevel="0" collapsed="false">
      <c r="A146" s="10" t="s">
        <v>44</v>
      </c>
      <c r="B146" s="10" t="s">
        <v>56</v>
      </c>
      <c r="C146" s="11" t="s">
        <v>79</v>
      </c>
      <c r="D146" s="10" t="s">
        <v>58</v>
      </c>
      <c r="E146" s="10" t="s">
        <v>456</v>
      </c>
      <c r="F146" s="12" t="s">
        <v>457</v>
      </c>
      <c r="G146" s="10" t="n">
        <v>95</v>
      </c>
      <c r="H146" s="10" t="n">
        <v>119</v>
      </c>
      <c r="I146" s="12" t="s">
        <v>458</v>
      </c>
      <c r="J146" s="12" t="s">
        <v>459</v>
      </c>
      <c r="K146" s="10"/>
    </row>
    <row r="147" customFormat="false" ht="15" hidden="false" customHeight="false" outlineLevel="0" collapsed="false">
      <c r="A147" s="10" t="s">
        <v>44</v>
      </c>
      <c r="B147" s="10" t="s">
        <v>56</v>
      </c>
      <c r="C147" s="11" t="s">
        <v>84</v>
      </c>
      <c r="D147" s="10" t="s">
        <v>58</v>
      </c>
      <c r="E147" s="10" t="s">
        <v>460</v>
      </c>
      <c r="F147" s="12" t="s">
        <v>461</v>
      </c>
      <c r="G147" s="10" t="n">
        <v>120</v>
      </c>
      <c r="H147" s="10" t="n">
        <v>180</v>
      </c>
      <c r="I147" s="12" t="s">
        <v>462</v>
      </c>
      <c r="J147" s="13" t="s">
        <v>463</v>
      </c>
      <c r="K147" s="10"/>
    </row>
    <row r="148" customFormat="false" ht="58.2" hidden="false" customHeight="false" outlineLevel="0" collapsed="false">
      <c r="A148" s="14" t="s">
        <v>44</v>
      </c>
      <c r="B148" s="14" t="s">
        <v>89</v>
      </c>
      <c r="C148" s="15" t="s">
        <v>90</v>
      </c>
      <c r="D148" s="14" t="s">
        <v>91</v>
      </c>
      <c r="E148" s="14" t="s">
        <v>464</v>
      </c>
      <c r="F148" s="16" t="s">
        <v>369</v>
      </c>
      <c r="G148" s="14" t="n">
        <v>0</v>
      </c>
      <c r="H148" s="14" t="n">
        <v>37</v>
      </c>
      <c r="I148" s="16" t="s">
        <v>370</v>
      </c>
      <c r="J148" s="16"/>
      <c r="K148" s="14"/>
    </row>
    <row r="149" customFormat="false" ht="44" hidden="false" customHeight="false" outlineLevel="0" collapsed="false">
      <c r="A149" s="14" t="s">
        <v>44</v>
      </c>
      <c r="B149" s="14" t="s">
        <v>89</v>
      </c>
      <c r="C149" s="15" t="s">
        <v>90</v>
      </c>
      <c r="D149" s="14" t="s">
        <v>96</v>
      </c>
      <c r="E149" s="14" t="s">
        <v>465</v>
      </c>
      <c r="F149" s="16" t="s">
        <v>372</v>
      </c>
      <c r="G149" s="14" t="n">
        <v>0</v>
      </c>
      <c r="H149" s="14" t="n">
        <v>37</v>
      </c>
      <c r="I149" s="16" t="s">
        <v>466</v>
      </c>
      <c r="J149" s="16"/>
      <c r="K149" s="14"/>
    </row>
    <row r="150" customFormat="false" ht="44" hidden="false" customHeight="false" outlineLevel="0" collapsed="false">
      <c r="A150" s="14" t="s">
        <v>44</v>
      </c>
      <c r="B150" s="14" t="s">
        <v>89</v>
      </c>
      <c r="C150" s="15" t="s">
        <v>90</v>
      </c>
      <c r="D150" s="14" t="s">
        <v>100</v>
      </c>
      <c r="E150" s="14" t="s">
        <v>467</v>
      </c>
      <c r="F150" s="16" t="s">
        <v>375</v>
      </c>
      <c r="G150" s="14" t="n">
        <v>0</v>
      </c>
      <c r="H150" s="14" t="n">
        <v>37</v>
      </c>
      <c r="I150" s="16" t="s">
        <v>468</v>
      </c>
      <c r="J150" s="16"/>
      <c r="K150" s="14"/>
    </row>
    <row r="151" customFormat="false" ht="44" hidden="false" customHeight="false" outlineLevel="0" collapsed="false">
      <c r="A151" s="14" t="s">
        <v>44</v>
      </c>
      <c r="B151" s="14" t="s">
        <v>89</v>
      </c>
      <c r="C151" s="15" t="s">
        <v>90</v>
      </c>
      <c r="D151" s="14" t="s">
        <v>104</v>
      </c>
      <c r="E151" s="14" t="s">
        <v>469</v>
      </c>
      <c r="F151" s="16" t="s">
        <v>378</v>
      </c>
      <c r="G151" s="14" t="n">
        <v>0</v>
      </c>
      <c r="H151" s="14" t="n">
        <v>37</v>
      </c>
      <c r="I151" s="16" t="s">
        <v>470</v>
      </c>
      <c r="J151" s="16"/>
      <c r="K151" s="14"/>
    </row>
    <row r="152" customFormat="false" ht="44" hidden="false" customHeight="false" outlineLevel="0" collapsed="false">
      <c r="A152" s="14" t="s">
        <v>44</v>
      </c>
      <c r="B152" s="14" t="s">
        <v>89</v>
      </c>
      <c r="C152" s="15" t="s">
        <v>90</v>
      </c>
      <c r="D152" s="14" t="s">
        <v>108</v>
      </c>
      <c r="E152" s="14" t="s">
        <v>471</v>
      </c>
      <c r="F152" s="16" t="s">
        <v>381</v>
      </c>
      <c r="G152" s="14" t="n">
        <v>0</v>
      </c>
      <c r="H152" s="14" t="n">
        <v>37</v>
      </c>
      <c r="I152" s="16" t="s">
        <v>472</v>
      </c>
      <c r="J152" s="16"/>
      <c r="K152" s="14"/>
    </row>
    <row r="153" customFormat="false" ht="44" hidden="false" customHeight="false" outlineLevel="0" collapsed="false">
      <c r="A153" s="14" t="s">
        <v>44</v>
      </c>
      <c r="B153" s="14" t="s">
        <v>89</v>
      </c>
      <c r="C153" s="15" t="s">
        <v>90</v>
      </c>
      <c r="D153" s="14" t="s">
        <v>112</v>
      </c>
      <c r="E153" s="14" t="s">
        <v>473</v>
      </c>
      <c r="F153" s="16" t="s">
        <v>384</v>
      </c>
      <c r="G153" s="14" t="n">
        <v>0</v>
      </c>
      <c r="H153" s="14" t="n">
        <v>37</v>
      </c>
      <c r="I153" s="16" t="s">
        <v>474</v>
      </c>
      <c r="J153" s="16"/>
      <c r="K153" s="14"/>
    </row>
    <row r="154" customFormat="false" ht="44" hidden="false" customHeight="false" outlineLevel="0" collapsed="false">
      <c r="A154" s="14" t="s">
        <v>44</v>
      </c>
      <c r="B154" s="14" t="s">
        <v>89</v>
      </c>
      <c r="C154" s="15" t="s">
        <v>116</v>
      </c>
      <c r="D154" s="14" t="s">
        <v>91</v>
      </c>
      <c r="E154" s="14" t="s">
        <v>475</v>
      </c>
      <c r="F154" s="16" t="s">
        <v>387</v>
      </c>
      <c r="G154" s="14" t="n">
        <v>38</v>
      </c>
      <c r="H154" s="14" t="n">
        <v>59</v>
      </c>
      <c r="I154" s="16" t="s">
        <v>388</v>
      </c>
      <c r="J154" s="16"/>
      <c r="K154" s="14"/>
    </row>
    <row r="155" customFormat="false" ht="44" hidden="false" customHeight="false" outlineLevel="0" collapsed="false">
      <c r="A155" s="14" t="s">
        <v>44</v>
      </c>
      <c r="B155" s="14" t="s">
        <v>89</v>
      </c>
      <c r="C155" s="15" t="s">
        <v>116</v>
      </c>
      <c r="D155" s="14" t="s">
        <v>96</v>
      </c>
      <c r="E155" s="14" t="s">
        <v>476</v>
      </c>
      <c r="F155" s="16" t="s">
        <v>390</v>
      </c>
      <c r="G155" s="14" t="n">
        <v>38</v>
      </c>
      <c r="H155" s="14" t="n">
        <v>59</v>
      </c>
      <c r="I155" s="16" t="s">
        <v>391</v>
      </c>
      <c r="J155" s="16"/>
      <c r="K155" s="14"/>
    </row>
    <row r="156" customFormat="false" ht="44" hidden="false" customHeight="false" outlineLevel="0" collapsed="false">
      <c r="A156" s="14" t="s">
        <v>44</v>
      </c>
      <c r="B156" s="14" t="s">
        <v>89</v>
      </c>
      <c r="C156" s="15" t="s">
        <v>116</v>
      </c>
      <c r="D156" s="14" t="s">
        <v>100</v>
      </c>
      <c r="E156" s="14" t="s">
        <v>477</v>
      </c>
      <c r="F156" s="16" t="s">
        <v>393</v>
      </c>
      <c r="G156" s="14" t="n">
        <v>38</v>
      </c>
      <c r="H156" s="14" t="n">
        <v>59</v>
      </c>
      <c r="I156" s="16" t="s">
        <v>394</v>
      </c>
      <c r="J156" s="16"/>
      <c r="K156" s="14"/>
    </row>
    <row r="157" customFormat="false" ht="44" hidden="false" customHeight="false" outlineLevel="0" collapsed="false">
      <c r="A157" s="14" t="s">
        <v>44</v>
      </c>
      <c r="B157" s="14" t="s">
        <v>89</v>
      </c>
      <c r="C157" s="15" t="s">
        <v>116</v>
      </c>
      <c r="D157" s="14" t="s">
        <v>104</v>
      </c>
      <c r="E157" s="14" t="s">
        <v>478</v>
      </c>
      <c r="F157" s="16" t="s">
        <v>396</v>
      </c>
      <c r="G157" s="14" t="n">
        <v>38</v>
      </c>
      <c r="H157" s="14" t="n">
        <v>59</v>
      </c>
      <c r="I157" s="16" t="s">
        <v>397</v>
      </c>
      <c r="J157" s="16"/>
      <c r="K157" s="14"/>
    </row>
    <row r="158" customFormat="false" ht="29.85" hidden="false" customHeight="false" outlineLevel="0" collapsed="false">
      <c r="A158" s="14" t="s">
        <v>44</v>
      </c>
      <c r="B158" s="14" t="s">
        <v>89</v>
      </c>
      <c r="C158" s="15" t="s">
        <v>116</v>
      </c>
      <c r="D158" s="14" t="s">
        <v>108</v>
      </c>
      <c r="E158" s="14" t="s">
        <v>479</v>
      </c>
      <c r="F158" s="16" t="s">
        <v>399</v>
      </c>
      <c r="G158" s="14" t="n">
        <v>38</v>
      </c>
      <c r="H158" s="14" t="n">
        <v>59</v>
      </c>
      <c r="I158" s="16" t="s">
        <v>480</v>
      </c>
      <c r="J158" s="16"/>
      <c r="K158" s="14"/>
    </row>
    <row r="159" customFormat="false" ht="29.85" hidden="false" customHeight="false" outlineLevel="0" collapsed="false">
      <c r="A159" s="14" t="s">
        <v>44</v>
      </c>
      <c r="B159" s="14" t="s">
        <v>89</v>
      </c>
      <c r="C159" s="15" t="s">
        <v>116</v>
      </c>
      <c r="D159" s="14" t="s">
        <v>112</v>
      </c>
      <c r="E159" s="14" t="s">
        <v>481</v>
      </c>
      <c r="F159" s="16" t="s">
        <v>402</v>
      </c>
      <c r="G159" s="14" t="n">
        <v>38</v>
      </c>
      <c r="H159" s="14" t="n">
        <v>59</v>
      </c>
      <c r="I159" s="16" t="s">
        <v>482</v>
      </c>
      <c r="J159" s="16"/>
      <c r="K159" s="14"/>
    </row>
    <row r="160" customFormat="false" ht="44" hidden="false" customHeight="false" outlineLevel="0" collapsed="false">
      <c r="A160" s="14" t="s">
        <v>44</v>
      </c>
      <c r="B160" s="14" t="s">
        <v>89</v>
      </c>
      <c r="C160" s="15" t="s">
        <v>135</v>
      </c>
      <c r="D160" s="14" t="s">
        <v>91</v>
      </c>
      <c r="E160" s="14" t="s">
        <v>483</v>
      </c>
      <c r="F160" s="16" t="s">
        <v>405</v>
      </c>
      <c r="G160" s="14" t="n">
        <v>60</v>
      </c>
      <c r="H160" s="14" t="n">
        <v>89</v>
      </c>
      <c r="I160" s="16" t="s">
        <v>484</v>
      </c>
      <c r="J160" s="16"/>
      <c r="K160" s="14"/>
    </row>
    <row r="161" customFormat="false" ht="29.85" hidden="false" customHeight="false" outlineLevel="0" collapsed="false">
      <c r="A161" s="14" t="s">
        <v>44</v>
      </c>
      <c r="B161" s="14" t="s">
        <v>89</v>
      </c>
      <c r="C161" s="15" t="s">
        <v>135</v>
      </c>
      <c r="D161" s="14" t="s">
        <v>96</v>
      </c>
      <c r="E161" s="14" t="s">
        <v>485</v>
      </c>
      <c r="F161" s="16" t="s">
        <v>408</v>
      </c>
      <c r="G161" s="14" t="n">
        <v>60</v>
      </c>
      <c r="H161" s="14" t="n">
        <v>89</v>
      </c>
      <c r="I161" s="16" t="s">
        <v>486</v>
      </c>
      <c r="J161" s="16"/>
      <c r="K161" s="14"/>
    </row>
    <row r="162" customFormat="false" ht="44" hidden="false" customHeight="false" outlineLevel="0" collapsed="false">
      <c r="A162" s="14" t="s">
        <v>44</v>
      </c>
      <c r="B162" s="14" t="s">
        <v>89</v>
      </c>
      <c r="C162" s="15" t="s">
        <v>135</v>
      </c>
      <c r="D162" s="14" t="s">
        <v>100</v>
      </c>
      <c r="E162" s="14" t="s">
        <v>487</v>
      </c>
      <c r="F162" s="16" t="s">
        <v>411</v>
      </c>
      <c r="G162" s="14" t="n">
        <v>60</v>
      </c>
      <c r="H162" s="14" t="n">
        <v>89</v>
      </c>
      <c r="I162" s="16" t="s">
        <v>488</v>
      </c>
      <c r="J162" s="16"/>
      <c r="K162" s="14"/>
    </row>
    <row r="163" customFormat="false" ht="29.85" hidden="false" customHeight="false" outlineLevel="0" collapsed="false">
      <c r="A163" s="14" t="s">
        <v>44</v>
      </c>
      <c r="B163" s="14" t="s">
        <v>89</v>
      </c>
      <c r="C163" s="15" t="s">
        <v>135</v>
      </c>
      <c r="D163" s="14" t="s">
        <v>104</v>
      </c>
      <c r="E163" s="14" t="s">
        <v>489</v>
      </c>
      <c r="F163" s="16" t="s">
        <v>414</v>
      </c>
      <c r="G163" s="14" t="n">
        <v>60</v>
      </c>
      <c r="H163" s="14" t="n">
        <v>89</v>
      </c>
      <c r="I163" s="16" t="s">
        <v>490</v>
      </c>
      <c r="J163" s="16"/>
      <c r="K163" s="14"/>
    </row>
    <row r="164" customFormat="false" ht="29.85" hidden="false" customHeight="false" outlineLevel="0" collapsed="false">
      <c r="A164" s="14" t="s">
        <v>44</v>
      </c>
      <c r="B164" s="14" t="s">
        <v>89</v>
      </c>
      <c r="C164" s="15" t="s">
        <v>135</v>
      </c>
      <c r="D164" s="14" t="s">
        <v>108</v>
      </c>
      <c r="E164" s="14" t="s">
        <v>491</v>
      </c>
      <c r="F164" s="16" t="s">
        <v>417</v>
      </c>
      <c r="G164" s="14" t="n">
        <v>60</v>
      </c>
      <c r="H164" s="14" t="n">
        <v>89</v>
      </c>
      <c r="I164" s="16" t="s">
        <v>492</v>
      </c>
      <c r="J164" s="16"/>
      <c r="K164" s="14"/>
    </row>
    <row r="165" customFormat="false" ht="29.85" hidden="false" customHeight="false" outlineLevel="0" collapsed="false">
      <c r="A165" s="14" t="s">
        <v>44</v>
      </c>
      <c r="B165" s="14" t="s">
        <v>89</v>
      </c>
      <c r="C165" s="15" t="s">
        <v>135</v>
      </c>
      <c r="D165" s="14" t="s">
        <v>112</v>
      </c>
      <c r="E165" s="14" t="s">
        <v>493</v>
      </c>
      <c r="F165" s="16" t="s">
        <v>420</v>
      </c>
      <c r="G165" s="14" t="n">
        <v>60</v>
      </c>
      <c r="H165" s="14" t="n">
        <v>89</v>
      </c>
      <c r="I165" s="16" t="s">
        <v>494</v>
      </c>
      <c r="J165" s="16"/>
      <c r="K165" s="15" t="s">
        <v>95</v>
      </c>
    </row>
    <row r="166" customFormat="false" ht="29.85" hidden="false" customHeight="false" outlineLevel="0" collapsed="false">
      <c r="A166" s="14" t="s">
        <v>44</v>
      </c>
      <c r="B166" s="14" t="s">
        <v>89</v>
      </c>
      <c r="C166" s="15" t="s">
        <v>154</v>
      </c>
      <c r="D166" s="14" t="s">
        <v>91</v>
      </c>
      <c r="E166" s="14" t="s">
        <v>495</v>
      </c>
      <c r="F166" s="16" t="s">
        <v>423</v>
      </c>
      <c r="G166" s="14" t="n">
        <v>90</v>
      </c>
      <c r="H166" s="14" t="n">
        <v>120</v>
      </c>
      <c r="I166" s="16" t="s">
        <v>496</v>
      </c>
      <c r="J166" s="16"/>
      <c r="K166" s="14"/>
    </row>
    <row r="167" customFormat="false" ht="29.85" hidden="false" customHeight="false" outlineLevel="0" collapsed="false">
      <c r="A167" s="14" t="s">
        <v>44</v>
      </c>
      <c r="B167" s="14" t="s">
        <v>89</v>
      </c>
      <c r="C167" s="15" t="s">
        <v>154</v>
      </c>
      <c r="D167" s="14" t="s">
        <v>96</v>
      </c>
      <c r="E167" s="14" t="s">
        <v>497</v>
      </c>
      <c r="F167" s="16" t="s">
        <v>426</v>
      </c>
      <c r="G167" s="14" t="n">
        <v>90</v>
      </c>
      <c r="H167" s="14" t="n">
        <v>120</v>
      </c>
      <c r="I167" s="16" t="s">
        <v>498</v>
      </c>
      <c r="J167" s="16"/>
      <c r="K167" s="14"/>
    </row>
    <row r="168" customFormat="false" ht="29.85" hidden="false" customHeight="false" outlineLevel="0" collapsed="false">
      <c r="A168" s="14" t="s">
        <v>44</v>
      </c>
      <c r="B168" s="14" t="s">
        <v>89</v>
      </c>
      <c r="C168" s="15" t="s">
        <v>154</v>
      </c>
      <c r="D168" s="14" t="s">
        <v>100</v>
      </c>
      <c r="E168" s="14" t="s">
        <v>499</v>
      </c>
      <c r="F168" s="16" t="s">
        <v>429</v>
      </c>
      <c r="G168" s="14" t="n">
        <v>90</v>
      </c>
      <c r="H168" s="14" t="n">
        <v>120</v>
      </c>
      <c r="I168" s="16" t="s">
        <v>500</v>
      </c>
      <c r="J168" s="16"/>
      <c r="K168" s="14"/>
    </row>
    <row r="169" customFormat="false" ht="29.85" hidden="false" customHeight="false" outlineLevel="0" collapsed="false">
      <c r="A169" s="14" t="s">
        <v>44</v>
      </c>
      <c r="B169" s="14" t="s">
        <v>89</v>
      </c>
      <c r="C169" s="15" t="s">
        <v>154</v>
      </c>
      <c r="D169" s="15" t="s">
        <v>164</v>
      </c>
      <c r="E169" s="14" t="s">
        <v>501</v>
      </c>
      <c r="F169" s="16" t="s">
        <v>432</v>
      </c>
      <c r="G169" s="14" t="n">
        <v>90</v>
      </c>
      <c r="H169" s="14" t="n">
        <v>120</v>
      </c>
      <c r="I169" s="16" t="s">
        <v>502</v>
      </c>
      <c r="J169" s="16"/>
      <c r="K169" s="15" t="s">
        <v>95</v>
      </c>
    </row>
    <row r="170" customFormat="false" ht="29.85" hidden="false" customHeight="false" outlineLevel="0" collapsed="false">
      <c r="A170" s="20" t="s">
        <v>44</v>
      </c>
      <c r="B170" s="20" t="s">
        <v>181</v>
      </c>
      <c r="C170" s="21" t="s">
        <v>90</v>
      </c>
      <c r="D170" s="20" t="s">
        <v>58</v>
      </c>
      <c r="E170" s="20" t="s">
        <v>503</v>
      </c>
      <c r="F170" s="22" t="s">
        <v>183</v>
      </c>
      <c r="G170" s="20" t="n">
        <v>0</v>
      </c>
      <c r="H170" s="20" t="n">
        <v>18</v>
      </c>
      <c r="I170" s="22" t="s">
        <v>504</v>
      </c>
      <c r="J170" s="22"/>
      <c r="K170" s="20"/>
    </row>
    <row r="171" customFormat="false" ht="29.85" hidden="false" customHeight="false" outlineLevel="0" collapsed="false">
      <c r="A171" s="20" t="s">
        <v>44</v>
      </c>
      <c r="B171" s="20" t="s">
        <v>181</v>
      </c>
      <c r="C171" s="21" t="s">
        <v>116</v>
      </c>
      <c r="D171" s="20" t="s">
        <v>58</v>
      </c>
      <c r="E171" s="20" t="s">
        <v>505</v>
      </c>
      <c r="F171" s="22" t="s">
        <v>186</v>
      </c>
      <c r="G171" s="20" t="n">
        <v>19</v>
      </c>
      <c r="H171" s="20" t="n">
        <v>29</v>
      </c>
      <c r="I171" s="22" t="s">
        <v>506</v>
      </c>
      <c r="J171" s="22"/>
      <c r="K171" s="20"/>
    </row>
    <row r="172" customFormat="false" ht="29.85" hidden="false" customHeight="false" outlineLevel="0" collapsed="false">
      <c r="A172" s="20" t="s">
        <v>44</v>
      </c>
      <c r="B172" s="20" t="s">
        <v>181</v>
      </c>
      <c r="C172" s="21" t="s">
        <v>135</v>
      </c>
      <c r="D172" s="20" t="s">
        <v>58</v>
      </c>
      <c r="E172" s="20" t="s">
        <v>507</v>
      </c>
      <c r="F172" s="22" t="s">
        <v>189</v>
      </c>
      <c r="G172" s="20" t="n">
        <v>30</v>
      </c>
      <c r="H172" s="20" t="n">
        <v>44</v>
      </c>
      <c r="I172" s="22" t="s">
        <v>508</v>
      </c>
      <c r="J172" s="22"/>
      <c r="K172" s="20"/>
    </row>
    <row r="173" customFormat="false" ht="29.85" hidden="false" customHeight="false" outlineLevel="0" collapsed="false">
      <c r="A173" s="20" t="s">
        <v>44</v>
      </c>
      <c r="B173" s="20" t="s">
        <v>181</v>
      </c>
      <c r="C173" s="21" t="s">
        <v>154</v>
      </c>
      <c r="D173" s="20" t="s">
        <v>58</v>
      </c>
      <c r="E173" s="20" t="s">
        <v>509</v>
      </c>
      <c r="F173" s="22" t="s">
        <v>192</v>
      </c>
      <c r="G173" s="20" t="n">
        <v>45</v>
      </c>
      <c r="H173" s="20" t="n">
        <v>60</v>
      </c>
      <c r="I173" s="22" t="s">
        <v>510</v>
      </c>
      <c r="J173" s="22"/>
      <c r="K173" s="20"/>
    </row>
  </sheetData>
  <autoFilter ref="A1:K1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60"/>
  </cols>
  <sheetData>
    <row r="1" customFormat="false" ht="16.15" hidden="false" customHeight="false" outlineLevel="0" collapsed="false">
      <c r="A1" s="23" t="s">
        <v>511</v>
      </c>
    </row>
    <row r="3" customFormat="false" ht="15" hidden="false" customHeight="false" outlineLevel="0" collapsed="false">
      <c r="A3" s="4" t="s">
        <v>21</v>
      </c>
      <c r="B3" s="24" t="s">
        <v>44</v>
      </c>
      <c r="C3" s="24" t="s">
        <v>40</v>
      </c>
      <c r="D3" s="24" t="s">
        <v>37</v>
      </c>
    </row>
    <row r="4" customFormat="false" ht="15" hidden="false" customHeight="false" outlineLevel="0" collapsed="false">
      <c r="A4" s="4" t="s">
        <v>512</v>
      </c>
      <c r="B4" s="24" t="n">
        <v>84</v>
      </c>
      <c r="C4" s="24" t="n">
        <v>105</v>
      </c>
      <c r="D4" s="24" t="n">
        <v>72</v>
      </c>
    </row>
    <row r="5" customFormat="false" ht="29.85" hidden="false" customHeight="false" outlineLevel="0" collapsed="false">
      <c r="A5" s="4" t="s">
        <v>513</v>
      </c>
      <c r="B5" s="24" t="n">
        <v>70</v>
      </c>
      <c r="C5" s="24" t="n">
        <v>40</v>
      </c>
      <c r="D5" s="24" t="n">
        <v>22</v>
      </c>
    </row>
    <row r="6" customFormat="false" ht="15" hidden="false" customHeight="false" outlineLevel="0" collapsed="false">
      <c r="A6" s="4" t="s">
        <v>514</v>
      </c>
      <c r="B6" s="24"/>
      <c r="C6" s="24" t="n">
        <v>28</v>
      </c>
      <c r="D6" s="24" t="n">
        <v>30</v>
      </c>
    </row>
    <row r="7" customFormat="false" ht="15" hidden="false" customHeight="false" outlineLevel="0" collapsed="false">
      <c r="A7" s="4" t="s">
        <v>515</v>
      </c>
      <c r="B7" s="24" t="n">
        <v>14</v>
      </c>
      <c r="C7" s="24" t="n">
        <v>37</v>
      </c>
      <c r="D7" s="24" t="n">
        <v>20</v>
      </c>
    </row>
    <row r="8" customFormat="false" ht="15" hidden="false" customHeight="false" outlineLevel="0" collapsed="false">
      <c r="A8" s="4" t="s">
        <v>516</v>
      </c>
      <c r="B8" s="24" t="s">
        <v>517</v>
      </c>
      <c r="C8" s="24" t="s">
        <v>518</v>
      </c>
      <c r="D8" s="24" t="s">
        <v>519</v>
      </c>
    </row>
    <row r="9" customFormat="false" ht="15" hidden="false" customHeight="false" outlineLevel="0" collapsed="false">
      <c r="A9" s="4" t="s">
        <v>520</v>
      </c>
      <c r="B9" s="24" t="s">
        <v>518</v>
      </c>
      <c r="C9" s="24" t="s">
        <v>517</v>
      </c>
      <c r="D9" s="24" t="s">
        <v>517</v>
      </c>
    </row>
    <row r="11" customFormat="false" ht="15" hidden="false" customHeight="false" outlineLevel="0" collapsed="false">
      <c r="A11" s="4" t="s">
        <v>22</v>
      </c>
      <c r="B11" s="25" t="n">
        <f aca="false">INDEX(級別設定!$B$2:$B$6,MATCH(B$3,級別設定!$A$2:$A$6,0))</f>
        <v>80</v>
      </c>
      <c r="C11" s="25" t="n">
        <f aca="false">INDEX(級別設定!$B$2:$B$6,MATCH(C$3,級別設定!$A$2:$A$6,0))</f>
        <v>90</v>
      </c>
      <c r="D11" s="25" t="n">
        <f aca="false">INDEX(級別設定!$B$2:$B$6,MATCH(D$3,級別設定!$A$2:$A$6,0))</f>
        <v>100</v>
      </c>
    </row>
    <row r="12" customFormat="false" ht="15" hidden="false" customHeight="false" outlineLevel="0" collapsed="false">
      <c r="A12" s="4" t="s">
        <v>521</v>
      </c>
      <c r="B12" s="26" t="b">
        <f aca="false">INDEX(級別設定!$I$2:$I$6,MATCH(B$3,級別設定!$A$2:$A$6,0))&gt;0</f>
        <v>0</v>
      </c>
      <c r="C12" s="26" t="b">
        <f aca="false">INDEX(級別設定!$I$2:$I$6,MATCH(C$3,級別設定!$A$2:$A$6,0))&gt;0</f>
        <v>1</v>
      </c>
      <c r="D12" s="26" t="b">
        <f aca="false">INDEX(級別設定!$I$2:$I$6,MATCH(D$3,級別設定!$A$2:$A$6,0))&gt;0</f>
        <v>1</v>
      </c>
    </row>
    <row r="13" customFormat="false" ht="15" hidden="false" customHeight="false" outlineLevel="0" collapsed="false">
      <c r="A13" s="4" t="s">
        <v>522</v>
      </c>
      <c r="B13" s="25" t="n">
        <f aca="false">B4-B11</f>
        <v>4</v>
      </c>
      <c r="C13" s="25" t="n">
        <f aca="false">C4-C11</f>
        <v>15</v>
      </c>
      <c r="D13" s="25" t="n">
        <f aca="false">D4-D11</f>
        <v>-28</v>
      </c>
    </row>
    <row r="14" customFormat="false" ht="15" hidden="false" customHeight="false" outlineLevel="0" collapsed="false">
      <c r="A14" s="4" t="s">
        <v>523</v>
      </c>
      <c r="B14" s="26" t="b">
        <f aca="false">OR(B5&lt;INDEX(級別設定!$F$2:$F$6,MATCH(B$3,級別設定!$A$2:$A$6,0)),AND(B12,N(B6)&lt;INDEX(級別設定!$J$2:$J$6,MATCH(B$3,級別設定!$A$2:$A$6,0))),B7&lt;INDEX(級別設定!$N$2:$N$6,MATCH(B$3,級別設定!$A$2:$A$6,0)))</f>
        <v>1</v>
      </c>
      <c r="C14" s="26" t="b">
        <f aca="false">OR(C5&lt;INDEX(級別設定!$F$2:$F$6,MATCH(C$3,級別設定!$A$2:$A$6,0)),AND(C12,N(C6)&lt;INDEX(級別設定!$J$2:$J$6,MATCH(C$3,級別設定!$A$2:$A$6,0))),C7&lt;INDEX(級別設定!$N$2:$N$6,MATCH(C$3,級別設定!$A$2:$A$6,0)))</f>
        <v>0</v>
      </c>
      <c r="D14" s="26" t="b">
        <f aca="false">OR(D5&lt;INDEX(級別設定!$F$2:$F$6,MATCH(D$3,級別設定!$A$2:$A$6,0)),AND(D12,N(D6)&lt;INDEX(級別設定!$J$2:$J$6,MATCH(D$3,級別設定!$A$2:$A$6,0))),D7&lt;INDEX(級別設定!$N$2:$N$6,MATCH(D$3,級別設定!$A$2:$A$6,0)))</f>
        <v>0</v>
      </c>
    </row>
    <row r="15" customFormat="false" ht="15" hidden="false" customHeight="false" outlineLevel="0" collapsed="false">
      <c r="A15" s="4" t="s">
        <v>524</v>
      </c>
      <c r="B15" s="25" t="str">
        <f aca="false">IF(AND(B13&gt;=0,B14),"單科未達",_xlfn.IFS(B13&lt;=-20,"差20+",B13&lt;0,"差1-19",B13&lt;15,"過0-14",B13&lt;40,"過15-39",TRUE(),"過40+"))</f>
        <v>單科未達</v>
      </c>
      <c r="C15" s="25" t="str">
        <f aca="false">IF(AND(C13&gt;=0,C14),"單科未達",_xlfn.IFS(C13&lt;=-20,"差20+",C13&lt;0,"差1-19",C13&lt;15,"過0-14",C13&lt;40,"過15-39",TRUE(),"過40+"))</f>
        <v>過15-39</v>
      </c>
      <c r="D15" s="25" t="str">
        <f aca="false">IF(AND(D13&gt;=0,D14),"單科未達",_xlfn.IFS(D13&lt;=-20,"差20+",D13&lt;0,"差1-19",D13&lt;15,"過0-14",D13&lt;40,"過15-39",TRUE(),"過40+"))</f>
        <v>差20+</v>
      </c>
    </row>
    <row r="16" customFormat="false" ht="15" hidden="false" customHeight="false" outlineLevel="0" collapsed="false">
      <c r="A16" s="4" t="s">
        <v>525</v>
      </c>
      <c r="B16" s="25" t="str">
        <f aca="false">_xlfn.IFS(B5&lt;INDEX(級別設定!$F$2:$F$6,MATCH(B$3,級別設定!$A$2:$A$6,0)),"未達",B5&lt;=INDEX(級別設定!$G$2:$G$6,MATCH(B$3,級別設定!$A$2:$A$6,0)),"偏低",B5&lt;=INDEX(級別設定!$H$2:$H$6,MATCH(B$3,級別設定!$A$2:$A$6,0)),"中",TRUE(),"高")</f>
        <v>中</v>
      </c>
      <c r="C16" s="25" t="str">
        <f aca="false">_xlfn.IFS(C5&lt;INDEX(級別設定!$F$2:$F$6,MATCH(C$3,級別設定!$A$2:$A$6,0)),"未達",C5&lt;=INDEX(級別設定!$G$2:$G$6,MATCH(C$3,級別設定!$A$2:$A$6,0)),"偏低",C5&lt;=INDEX(級別設定!$H$2:$H$6,MATCH(C$3,級別設定!$A$2:$A$6,0)),"中",TRUE(),"高")</f>
        <v>中</v>
      </c>
      <c r="D16" s="25" t="str">
        <f aca="false">_xlfn.IFS(D5&lt;INDEX(級別設定!$F$2:$F$6,MATCH(D$3,級別設定!$A$2:$A$6,0)),"未達",D5&lt;=INDEX(級別設定!$G$2:$G$6,MATCH(D$3,級別設定!$A$2:$A$6,0)),"偏低",D5&lt;=INDEX(級別設定!$H$2:$H$6,MATCH(D$3,級別設定!$A$2:$A$6,0)),"中",TRUE(),"高")</f>
        <v>偏低</v>
      </c>
    </row>
    <row r="17" customFormat="false" ht="15" hidden="false" customHeight="false" outlineLevel="0" collapsed="false">
      <c r="A17" s="4" t="s">
        <v>526</v>
      </c>
      <c r="B17" s="25" t="str">
        <f aca="false">IF(B12,_xlfn.IFS(B6&lt;INDEX(級別設定!$J$2:$J$6,MATCH(B$3,級別設定!$A$2:$A$6,0)),"未達",B6&lt;=INDEX(級別設定!$K$2:$K$6,MATCH(B$3,級別設定!$A$2:$A$6,0)),"偏低",B6&lt;=INDEX(級別設定!$L$2:$L$6,MATCH(B$3,級別設定!$A$2:$A$6,0)),"中",TRUE(),"高"),"-")</f>
        <v>-</v>
      </c>
      <c r="C17" s="25" t="str">
        <f aca="false">IF(C12,_xlfn.IFS(C6&lt;INDEX(級別設定!$J$2:$J$6,MATCH(C$3,級別設定!$A$2:$A$6,0)),"未達",C6&lt;=INDEX(級別設定!$K$2:$K$6,MATCH(C$3,級別設定!$A$2:$A$6,0)),"偏低",C6&lt;=INDEX(級別設定!$L$2:$L$6,MATCH(C$3,級別設定!$A$2:$A$6,0)),"中",TRUE(),"高"),"-")</f>
        <v>偏低</v>
      </c>
      <c r="D17" s="25" t="str">
        <f aca="false">IF(D12,_xlfn.IFS(D6&lt;INDEX(級別設定!$J$2:$J$6,MATCH(D$3,級別設定!$A$2:$A$6,0)),"未達",D6&lt;=INDEX(級別設定!$K$2:$K$6,MATCH(D$3,級別設定!$A$2:$A$6,0)),"偏低",D6&lt;=INDEX(級別設定!$L$2:$L$6,MATCH(D$3,級別設定!$A$2:$A$6,0)),"中",TRUE(),"高"),"-")</f>
        <v>中</v>
      </c>
    </row>
    <row r="18" customFormat="false" ht="15" hidden="false" customHeight="false" outlineLevel="0" collapsed="false">
      <c r="A18" s="4" t="s">
        <v>527</v>
      </c>
      <c r="B18" s="25" t="str">
        <f aca="false">_xlfn.IFS(B7&lt;INDEX(級別設定!$N$2:$N$6,MATCH(B$3,級別設定!$A$2:$A$6,0)),"未達",B7&lt;=INDEX(級別設定!$O$2:$O$6,MATCH(B$3,級別設定!$A$2:$A$6,0)),"偏低",B7&lt;=INDEX(級別設定!$P$2:$P$6,MATCH(B$3,級別設定!$A$2:$A$6,0)),"中",TRUE(),"高")</f>
        <v>未達</v>
      </c>
      <c r="C18" s="25" t="str">
        <f aca="false">_xlfn.IFS(C7&lt;INDEX(級別設定!$N$2:$N$6,MATCH(C$3,級別設定!$A$2:$A$6,0)),"未達",C7&lt;=INDEX(級別設定!$O$2:$O$6,MATCH(C$3,級別設定!$A$2:$A$6,0)),"偏低",C7&lt;=INDEX(級別設定!$P$2:$P$6,MATCH(C$3,級別設定!$A$2:$A$6,0)),"中",TRUE(),"高")</f>
        <v>中</v>
      </c>
      <c r="D18" s="25" t="str">
        <f aca="false">_xlfn.IFS(D7&lt;INDEX(級別設定!$N$2:$N$6,MATCH(D$3,級別設定!$A$2:$A$6,0)),"未達",D7&lt;=INDEX(級別設定!$O$2:$O$6,MATCH(D$3,級別設定!$A$2:$A$6,0)),"偏低",D7&lt;=INDEX(級別設定!$P$2:$P$6,MATCH(D$3,級別設定!$A$2:$A$6,0)),"中",TRUE(),"高")</f>
        <v>偏低</v>
      </c>
    </row>
    <row r="19" customFormat="false" ht="15" hidden="false" customHeight="false" outlineLevel="0" collapsed="false">
      <c r="A19" s="4" t="s">
        <v>528</v>
      </c>
      <c r="B19" s="25" t="str">
        <f aca="false">IF(AND(B8="C",B9="C"),"CC",IF(OR(B8="C",B9="C"),"C1",B8&amp;B9))</f>
        <v>BA</v>
      </c>
      <c r="C19" s="25" t="str">
        <f aca="false">IF(AND(C8="C",C9="C"),"CC",IF(OR(C8="C",C9="C"),"C1",C8&amp;C9))</f>
        <v>AB</v>
      </c>
      <c r="D19" s="25" t="str">
        <f aca="false">IF(AND(D8="C",D9="C"),"CC",IF(OR(D8="C",D9="C"),"C1",D8&amp;D9))</f>
        <v>C1</v>
      </c>
    </row>
    <row r="20" customFormat="false" ht="15" hidden="false" customHeight="false" outlineLevel="0" collapsed="false">
      <c r="A20" s="4" t="s">
        <v>529</v>
      </c>
      <c r="B20" s="25" t="str">
        <f aca="false">IF(B16="高",IF(OR(B19="AA",B19="AB",B19="BA"),B19,"其他"),B19)</f>
        <v>BA</v>
      </c>
      <c r="C20" s="25" t="str">
        <f aca="false">IF(C16="高",IF(OR(C19="AA",C19="AB",C19="BA"),C19,"其他"),C19)</f>
        <v>AB</v>
      </c>
      <c r="D20" s="25" t="str">
        <f aca="false">IF(D16="高",IF(OR(D19="AA",D19="AB",D19="BA"),D19,"其他"),D19)</f>
        <v>C1</v>
      </c>
    </row>
    <row r="21" customFormat="false" ht="15" hidden="false" customHeight="false" outlineLevel="0" collapsed="false">
      <c r="A21" s="4" t="s">
        <v>530</v>
      </c>
      <c r="B21" s="25" t="str">
        <f aca="false">IF(B8="C","單字","文法")</f>
        <v>文法</v>
      </c>
      <c r="C21" s="25" t="str">
        <f aca="false">IF(C8="C","單字","文法")</f>
        <v>文法</v>
      </c>
      <c r="D21" s="25" t="str">
        <f aca="false">IF(D8="C","單字","文法")</f>
        <v>單字</v>
      </c>
    </row>
    <row r="23" customFormat="false" ht="15" hidden="false" customHeight="false" outlineLevel="0" collapsed="false">
      <c r="A23" s="4" t="s">
        <v>531</v>
      </c>
      <c r="B23" s="25" t="str">
        <f aca="false">B3&amp;"|A_總判定|"&amp;B15&amp;"|-"</f>
        <v>N5|A_總判定|單科未達|-</v>
      </c>
      <c r="C23" s="25" t="str">
        <f aca="false">C3&amp;"|A_總判定|"&amp;C15&amp;"|-"</f>
        <v>N2|A_總判定|過15-39|-</v>
      </c>
      <c r="D23" s="25" t="str">
        <f aca="false">D3&amp;"|A_總判定|"&amp;D15&amp;"|-"</f>
        <v>N1|A_總判定|差20+|-</v>
      </c>
    </row>
    <row r="24" customFormat="false" ht="15" hidden="false" customHeight="false" outlineLevel="0" collapsed="false">
      <c r="A24" s="4" t="s">
        <v>532</v>
      </c>
      <c r="B24" s="25" t="str">
        <f aca="false">B3&amp;"|B_言語知識|"&amp;B16&amp;"|"&amp;B20</f>
        <v>N5|B_言語知識|中|BA</v>
      </c>
      <c r="C24" s="25" t="str">
        <f aca="false">C3&amp;"|B_言語知識|"&amp;C16&amp;"|"&amp;C20</f>
        <v>N2|B_言語知識|中|AB</v>
      </c>
      <c r="D24" s="25" t="str">
        <f aca="false">D3&amp;"|B_言語知識|"&amp;D16&amp;"|"&amp;D20</f>
        <v>N1|B_言語知識|偏低|C1</v>
      </c>
    </row>
    <row r="25" customFormat="false" ht="15" hidden="false" customHeight="false" outlineLevel="0" collapsed="false">
      <c r="A25" s="4" t="s">
        <v>533</v>
      </c>
      <c r="B25" s="25" t="str">
        <f aca="false">IF(B12,B3&amp;"|R_讀解|"&amp;B17&amp;"|-","")</f>
        <v/>
      </c>
      <c r="C25" s="25" t="str">
        <f aca="false">IF(C12,C3&amp;"|R_讀解|"&amp;C17&amp;"|-","")</f>
        <v>N2|R_讀解|偏低|-</v>
      </c>
      <c r="D25" s="25" t="str">
        <f aca="false">IF(D12,D3&amp;"|R_讀解|"&amp;D17&amp;"|-","")</f>
        <v>N1|R_讀解|中|-</v>
      </c>
    </row>
    <row r="26" customFormat="false" ht="15" hidden="false" customHeight="false" outlineLevel="0" collapsed="false">
      <c r="A26" s="4" t="s">
        <v>534</v>
      </c>
      <c r="B26" s="25" t="str">
        <f aca="false">B3&amp;"|C_聽解|"&amp;B18&amp;"|-"</f>
        <v>N5|C_聽解|未達|-</v>
      </c>
      <c r="C26" s="25" t="str">
        <f aca="false">C3&amp;"|C_聽解|"&amp;C18&amp;"|-"</f>
        <v>N2|C_聽解|中|-</v>
      </c>
      <c r="D26" s="25" t="str">
        <f aca="false">D3&amp;"|C_聽解|"&amp;D18&amp;"|-"</f>
        <v>N1|C_聽解|偏低|-</v>
      </c>
    </row>
    <row r="28" customFormat="false" ht="75" hidden="false" customHeight="true" outlineLevel="0" collapsed="false">
      <c r="A28" s="4" t="s">
        <v>535</v>
      </c>
      <c r="B28" s="27" t="str">
        <f aca="false">INDEX(評語清單!$I$2:$I$173,MATCH(B23,評語清單!$E$2:$E$173,0))</f>
        <v>這次總分其實已經到了，只是有一科差了一點沒過線，真的很可惜。日檢是每一科都要過最低分數才算合格，所以這次還差一步，但你整體的實力其實已經夠了。</v>
      </c>
      <c r="C28" s="27" t="str">
        <f aca="false">INDEX(評語清單!$I$2:$I$173,MATCH(C23,評語清單!$E$2:$E$173,0))</f>
        <v>恭喜合格！而且是穩穩地過，N2 的內容已經掌握得不錯了。</v>
      </c>
      <c r="D28" s="27" t="str">
        <f aca="false">INDEX(評語清單!$I$2:$I$173,MATCH(D23,評語清單!$E$2:$E$173,0))</f>
        <v>你願意把成績交出來，這一步就很值得肯定。這次的分數離及格還有一段距離，表示 N1 的內容對現在的你來說還有點深，這很正常。</v>
      </c>
    </row>
    <row r="29" customFormat="false" ht="75" hidden="false" customHeight="true" outlineLevel="0" collapsed="false">
      <c r="A29" s="4" t="s">
        <v>536</v>
      </c>
      <c r="B29" s="27" t="str">
        <f aca="false">SUBSTITUTE(INDEX(評語清單!$I$2:$I$173,MATCH(B24,評語清單!$E$2:$E$173,0)),"〇〇",B21)</f>
        <v>言語知識・讀解這次表現蠻穩定的，文法沒什麼問題，單字還可以再多累積一些。可以趁這段時間把單字量往上拉，搭配長一點的文章一起讀，N4 的單字會多很多，現在先累積會比較輕鬆。</v>
      </c>
      <c r="C29" s="27" t="str">
        <f aca="false">SUBSTITUTE(INDEX(評語清單!$I$2:$I$173,MATCH(C24,評語清單!$E$2:$E$173,0)),"〇〇",C21)</f>
        <v>言語知識這次表現蠻穩定的，單字沒什麼問題，文法還可以再練練。可以把常錯的句型整理起來再練一輪，同時慢慢接觸 N1 的文法，往上會比較順。</v>
      </c>
      <c r="D29" s="27" t="str">
        <f aca="false">SUBSTITUTE(INDEX(評語清單!$I$2:$I$173,MATCH(D24,評語清單!$E$2:$E$173,0)),"〇〇",D21)</f>
        <v>言語知識有過線了，但單字這塊明顯還不太熟，分數主要是被這裡拉下來的。建議先集中把 N1 的單字補起來，這科的分數會有感地往上。</v>
      </c>
    </row>
    <row r="30" customFormat="false" ht="75" hidden="false" customHeight="true" outlineLevel="0" collapsed="false">
      <c r="A30" s="4" t="s">
        <v>537</v>
      </c>
      <c r="B30" s="27" t="str">
        <f aca="false">IF(B12,INDEX(評語清單!$I$2:$I$173,MATCH(B25,評語清單!$E$2:$E$173,0)),"")</f>
        <v/>
      </c>
      <c r="C30" s="27" t="str">
        <f aca="false">IF(C12,INDEX(評語清單!$I$2:$I$173,MATCH(C25,評語清單!$E$2:$E$173,0)),"")</f>
        <v>讀解有過線了，但分數還偏低，可能是長文讀得太慢，或者兩篇文章比較的題型不太好處理。建議固定練習長文，先抓段落結構再看細節，時間分配會好很多。</v>
      </c>
      <c r="D30" s="27" t="str">
        <f aca="false">IF(D12,INDEX(評語清單!$I$2:$I$173,MATCH(D25,評語清單!$E$2:$E$173,0)),"")</f>
        <v>讀解這次表現蠻穩定的，N1 的文章大部分都能讀懂了。接下來可以把閱讀變成日常，像是固定讀日文的書或專欄，這科會越來越穩的。</v>
      </c>
    </row>
    <row r="31" customFormat="false" ht="75" hidden="false" customHeight="true" outlineLevel="0" collapsed="false">
      <c r="A31" s="4" t="s">
        <v>538</v>
      </c>
      <c r="B31" s="27" t="str">
        <f aca="false">INDEX(評語清單!$I$2:$I$173,MATCH(B26,評語清單!$E$2:$E$173,0))</f>
        <v>聽力的分數比較低，還沒過線，可能是語速還不習慣，或者句型一下聽過去就忘了。建議可以先看懂內容，再搭配音檔反覆練習，讓耳朵慢慢熟起來。</v>
      </c>
      <c r="C31" s="27" t="str">
        <f aca="false">INDEX(評語清單!$I$2:$I$173,MATCH(C26,評語清單!$E$2:$E$173,0))</f>
        <v>這次的聽力表現不錯，N2 的內容大部分都能掌握了。可以開始接觸日文的新聞、演講或討論節目，練習在資訊多的時候還能抓住重點，慢慢往 N1 的聽力靠近。</v>
      </c>
      <c r="D31" s="27" t="str">
        <f aca="false">INDEX(評語清單!$I$2:$I$173,MATCH(D26,評語清單!$E$2:$E$173,0))</f>
        <v>你已經能聽懂不少內容了，是很好的開始！只是抽象的話題或多人討論的時候還是容易跟丟。建議多聽討論型的節目或演講，練習分辨誰在說什麼、立場是什麼，聽完試著用自己的話整理。</v>
      </c>
    </row>
    <row r="32" customFormat="false" ht="75" hidden="false" customHeight="true" outlineLevel="0" collapsed="false">
      <c r="A32" s="4" t="s">
        <v>539</v>
      </c>
      <c r="B32" s="27" t="str">
        <f aca="false">INDEX(評語清單!$J$2:$J$173,MATCH(B23,評語清單!$E$2:$E$173,0))</f>
        <v>現在先集中把那一科補起來，其他科維持住，12 月再考一次 N5，應該就能順利過了。</v>
      </c>
      <c r="C32" s="27" t="str">
        <f aca="false">INDEX(評語清單!$J$2:$J$173,MATCH(C23,評語清單!$E$2:$E$173,0))</f>
        <v>現在可以開始慢慢接觸 N1 的內容，12 月直接報 N1，時間剛剛好。</v>
      </c>
      <c r="D32" s="27" t="str">
        <f aca="false">INDEX(評語清單!$J$2:$J$173,MATCH(D23,評語清單!$E$2:$E$173,0))</f>
        <v>12 月要再考一次 N1，還是先回 N2 拿一個穩穩的合格，可以找我聊聊再決定，兩種都可以。</v>
      </c>
    </row>
    <row r="34" customFormat="false" ht="259.5" hidden="false" customHeight="true" outlineLevel="0" collapsed="false">
      <c r="A34" s="3" t="s">
        <v>540</v>
      </c>
      <c r="B34" s="27" t="str">
        <f aca="false">B28&amp;B29&amp;B30&amp;B31&amp;B32</f>
        <v>這次總分其實已經到了，只是有一科差了一點沒過線，真的很可惜。日檢是每一科都要過最低分數才算合格，所以這次還差一步，但你整體的實力其實已經夠了。言語知識・讀解這次表現蠻穩定的，文法沒什麼問題，單字還可以再多累積一些。可以趁這段時間把單字量往上拉，搭配長一點的文章一起讀，N4 的單字會多很多，現在先累積會比較輕鬆。聽力的分數比較低，還沒過線，可能是語速還不習慣，或者句型一下聽過去就忘了。建議可以先看懂內容，再搭配音檔反覆練習，讓耳朵慢慢熟起來。現在先集中把那一科補起來，其他科維持住，12 月再考一次 N5，應該就能順利過了。</v>
      </c>
      <c r="C34" s="27" t="str">
        <f aca="false">C28&amp;C29&amp;C30&amp;C31&amp;C32</f>
        <v>恭喜合格！而且是穩穩地過，N2 的內容已經掌握得不錯了。言語知識這次表現蠻穩定的，單字沒什麼問題，文法還可以再練練。可以把常錯的句型整理起來再練一輪，同時慢慢接觸 N1 的文法，往上會比較順。讀解有過線了，但分數還偏低，可能是長文讀得太慢，或者兩篇文章比較的題型不太好處理。建議固定練習長文，先抓段落結構再看細節，時間分配會好很多。這次的聽力表現不錯，N2 的內容大部分都能掌握了。可以開始接觸日文的新聞、演講或討論節目，練習在資訊多的時候還能抓住重點，慢慢往 N1 的聽力靠近。現在可以開始慢慢接觸 N1 的內容，12 月直接報 N1，時間剛剛好。</v>
      </c>
      <c r="D34" s="27" t="str">
        <f aca="false">D28&amp;D29&amp;D30&amp;D31&amp;D32</f>
        <v>你願意把成績交出來，這一步就很值得肯定。這次的分數離及格還有一段距離，表示 N1 的內容對現在的你來說還有點深，這很正常。言語知識有過線了，但單字這塊明顯還不太熟，分數主要是被這裡拉下來的。建議先集中把 N1 的單字補起來，這科的分數會有感地往上。讀解這次表現蠻穩定的，N1 的文章大部分都能讀懂了。接下來可以把閱讀變成日常，像是固定讀日文的書或專欄，這科會越來越穩的。你已經能聽懂不少內容了，是很好的開始！只是抽象的話題或多人討論的時候還是容易跟丟。建議多聽討論型的節目或演講，練習分辨誰在說什麼、立場是什麼，聽完試著用自己的話整理。12 月要再考一次 N1，還是先回 N2 拿一個穩穩的合格，可以找我聊聊再決定，兩種都可以。</v>
      </c>
    </row>
    <row r="36" customFormat="false" ht="15" hidden="false" customHeight="false" outlineLevel="0" collapsed="false">
      <c r="A36" s="9" t="s">
        <v>541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2026-08-24T16:29:50Z</dcterms:created>
  <dc:creator>openpyxl</dc:creator>
  <dc:description/>
  <dc:language>en-US</dc:language>
  <cp:lastModifiedBy/>
  <dcterms:modified xsi:type="dcterms:W3CDTF">2026-08-24T16:29:50Z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